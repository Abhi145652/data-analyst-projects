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m\Downloads\"/>
    </mc:Choice>
  </mc:AlternateContent>
  <bookViews>
    <workbookView xWindow="0" yWindow="0" windowWidth="20490" windowHeight="7755" activeTab="5"/>
  </bookViews>
  <sheets>
    <sheet name="column" sheetId="2" r:id="rId1"/>
    <sheet name="Pie chart" sheetId="3" r:id="rId2"/>
    <sheet name="line chart" sheetId="4" r:id="rId3"/>
    <sheet name="Donut chart" sheetId="5" r:id="rId4"/>
    <sheet name="Combo" sheetId="6" r:id="rId5"/>
    <sheet name="Dashbord" sheetId="8" r:id="rId6"/>
    <sheet name="Pivot_Table_3" sheetId="1" r:id="rId7"/>
  </sheets>
  <definedNames>
    <definedName name="Slicer_Agent">#N/A</definedName>
    <definedName name="Slicer_Area">#N/A</definedName>
  </definedNames>
  <calcPr calcId="152511"/>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1" i="1" l="1"/>
  <c r="L31" i="1" s="1"/>
  <c r="M31" i="1" s="1"/>
  <c r="K30" i="1"/>
  <c r="L30" i="1" s="1"/>
  <c r="M30" i="1" s="1"/>
  <c r="K29" i="1"/>
  <c r="L29" i="1" s="1"/>
  <c r="M29" i="1" s="1"/>
  <c r="M28" i="1"/>
  <c r="L28" i="1"/>
  <c r="K28" i="1"/>
  <c r="L27" i="1"/>
  <c r="M27" i="1" s="1"/>
  <c r="K27" i="1"/>
  <c r="K26" i="1"/>
  <c r="L26" i="1" s="1"/>
  <c r="M26" i="1" s="1"/>
  <c r="K25" i="1"/>
  <c r="L25" i="1" s="1"/>
  <c r="M25" i="1" s="1"/>
  <c r="M24" i="1"/>
  <c r="L24" i="1"/>
  <c r="K24" i="1"/>
  <c r="L23" i="1"/>
  <c r="M23" i="1" s="1"/>
  <c r="K23" i="1"/>
  <c r="K22" i="1"/>
  <c r="L22" i="1" s="1"/>
  <c r="M22" i="1" s="1"/>
  <c r="K21" i="1"/>
  <c r="L21" i="1" s="1"/>
  <c r="M21" i="1" s="1"/>
  <c r="M20" i="1"/>
  <c r="L20" i="1"/>
  <c r="K20" i="1"/>
  <c r="L19" i="1"/>
  <c r="M19" i="1" s="1"/>
  <c r="K19" i="1"/>
  <c r="K18" i="1"/>
  <c r="L18" i="1" s="1"/>
  <c r="M18" i="1" s="1"/>
  <c r="K17" i="1"/>
  <c r="L17" i="1" s="1"/>
  <c r="M17" i="1" s="1"/>
  <c r="M16" i="1"/>
  <c r="L16" i="1"/>
  <c r="K16" i="1"/>
  <c r="L15" i="1"/>
  <c r="M15" i="1" s="1"/>
  <c r="K15" i="1"/>
  <c r="K14" i="1"/>
  <c r="L14" i="1" s="1"/>
  <c r="M14" i="1" s="1"/>
  <c r="K13" i="1"/>
  <c r="L13" i="1" s="1"/>
  <c r="M13" i="1" s="1"/>
  <c r="M12" i="1"/>
  <c r="L12" i="1"/>
  <c r="K12" i="1"/>
  <c r="L11" i="1"/>
  <c r="M11" i="1" s="1"/>
  <c r="K11" i="1"/>
  <c r="K10" i="1"/>
  <c r="L10" i="1" s="1"/>
  <c r="M10" i="1" s="1"/>
  <c r="K9" i="1"/>
  <c r="L9" i="1" s="1"/>
  <c r="M9" i="1" s="1"/>
  <c r="M8" i="1"/>
  <c r="L8" i="1"/>
  <c r="K8" i="1"/>
  <c r="L7" i="1"/>
  <c r="M7" i="1" s="1"/>
  <c r="K7" i="1"/>
  <c r="K6" i="1"/>
  <c r="L6" i="1" s="1"/>
  <c r="M6" i="1" s="1"/>
  <c r="K5" i="1"/>
  <c r="L5" i="1" s="1"/>
  <c r="M5" i="1" s="1"/>
  <c r="M4" i="1"/>
  <c r="L4" i="1"/>
  <c r="K4" i="1"/>
  <c r="L3" i="1"/>
  <c r="M3" i="1" s="1"/>
  <c r="K3" i="1"/>
  <c r="K2" i="1"/>
  <c r="L2" i="1" s="1"/>
  <c r="M2" i="1" s="1"/>
</calcChain>
</file>

<file path=xl/sharedStrings.xml><?xml version="1.0" encoding="utf-8"?>
<sst xmlns="http://schemas.openxmlformats.org/spreadsheetml/2006/main" count="262" uniqueCount="107">
  <si>
    <t>Product Code</t>
  </si>
  <si>
    <t>Product Name</t>
  </si>
  <si>
    <t>Price/Unit</t>
  </si>
  <si>
    <t>Basic Price</t>
  </si>
  <si>
    <t>Month</t>
  </si>
  <si>
    <t>Region</t>
  </si>
  <si>
    <t>Area</t>
  </si>
  <si>
    <t>Territory</t>
  </si>
  <si>
    <t>Agent</t>
  </si>
  <si>
    <t>Units Sold</t>
  </si>
  <si>
    <t>Sales Value</t>
  </si>
  <si>
    <t>Commission</t>
  </si>
  <si>
    <t>Profit</t>
  </si>
  <si>
    <t>PC019</t>
  </si>
  <si>
    <t>Dettol</t>
  </si>
  <si>
    <t>Jan</t>
  </si>
  <si>
    <t>East</t>
  </si>
  <si>
    <t>Assam</t>
  </si>
  <si>
    <t>Dispur</t>
  </si>
  <si>
    <t>ABC</t>
  </si>
  <si>
    <t>PC001</t>
  </si>
  <si>
    <t>Lux</t>
  </si>
  <si>
    <t>West</t>
  </si>
  <si>
    <t>Gujarat</t>
  </si>
  <si>
    <t>Vadodara</t>
  </si>
  <si>
    <t>GTC</t>
  </si>
  <si>
    <t>PC003</t>
  </si>
  <si>
    <t>Cello Pen</t>
  </si>
  <si>
    <t>North</t>
  </si>
  <si>
    <t>J&amp;K</t>
  </si>
  <si>
    <t>Jammu</t>
  </si>
  <si>
    <t>JKTC</t>
  </si>
  <si>
    <t>PC043</t>
  </si>
  <si>
    <t>Print Paper</t>
  </si>
  <si>
    <t>South</t>
  </si>
  <si>
    <t>Karnataka</t>
  </si>
  <si>
    <t>Bangalore</t>
  </si>
  <si>
    <t>KATC</t>
  </si>
  <si>
    <t>PC021</t>
  </si>
  <si>
    <t>Pepsodent</t>
  </si>
  <si>
    <t>Meghalaya</t>
  </si>
  <si>
    <t>Shillong</t>
  </si>
  <si>
    <t>MTC</t>
  </si>
  <si>
    <t>Feb</t>
  </si>
  <si>
    <t>Rajesthan</t>
  </si>
  <si>
    <t>Bikaner</t>
  </si>
  <si>
    <t>RTC</t>
  </si>
  <si>
    <t>HP</t>
  </si>
  <si>
    <t>Simla</t>
  </si>
  <si>
    <t>HPTC</t>
  </si>
  <si>
    <t>Kerala</t>
  </si>
  <si>
    <t>Kochi</t>
  </si>
  <si>
    <t>KETC</t>
  </si>
  <si>
    <t>Manipur</t>
  </si>
  <si>
    <t>Imphal</t>
  </si>
  <si>
    <t>MATC</t>
  </si>
  <si>
    <t>Ajmer</t>
  </si>
  <si>
    <t>Mar</t>
  </si>
  <si>
    <t>Punjab</t>
  </si>
  <si>
    <t>Amrithsar</t>
  </si>
  <si>
    <t>PTC</t>
  </si>
  <si>
    <t>TN</t>
  </si>
  <si>
    <t>Chennai</t>
  </si>
  <si>
    <t>TNTC</t>
  </si>
  <si>
    <t>Nagaland</t>
  </si>
  <si>
    <t>Kohima</t>
  </si>
  <si>
    <t>NTC</t>
  </si>
  <si>
    <t>Ahmedabad</t>
  </si>
  <si>
    <t>Uttaranchal</t>
  </si>
  <si>
    <t>Nanital</t>
  </si>
  <si>
    <t>UTC</t>
  </si>
  <si>
    <t>Apr</t>
  </si>
  <si>
    <t>AP</t>
  </si>
  <si>
    <t>Hyderabad</t>
  </si>
  <si>
    <t>APTC</t>
  </si>
  <si>
    <t>Tripura</t>
  </si>
  <si>
    <t>Agarthala</t>
  </si>
  <si>
    <t>TTC</t>
  </si>
  <si>
    <t>Maharastra</t>
  </si>
  <si>
    <t>Mumbai</t>
  </si>
  <si>
    <t>MHTC</t>
  </si>
  <si>
    <t>Delhi</t>
  </si>
  <si>
    <t>DTC</t>
  </si>
  <si>
    <t>Trichy</t>
  </si>
  <si>
    <t>Jun</t>
  </si>
  <si>
    <t>TRTC</t>
  </si>
  <si>
    <t>Nasik</t>
  </si>
  <si>
    <t>Kapurthala</t>
  </si>
  <si>
    <t>Warangal</t>
  </si>
  <si>
    <t>Arunachal Pradesh</t>
  </si>
  <si>
    <t>Itanagar</t>
  </si>
  <si>
    <t>ARTC</t>
  </si>
  <si>
    <t>Jul</t>
  </si>
  <si>
    <t>Jaipur</t>
  </si>
  <si>
    <t>Manali</t>
  </si>
  <si>
    <t>Kollam</t>
  </si>
  <si>
    <t>Bishnupur</t>
  </si>
  <si>
    <t>Row Labels</t>
  </si>
  <si>
    <t>Grand Total</t>
  </si>
  <si>
    <t>Sum of Profit</t>
  </si>
  <si>
    <t>1-50000</t>
  </si>
  <si>
    <t>50001-100000</t>
  </si>
  <si>
    <t>100001-150000</t>
  </si>
  <si>
    <t>150001-200000</t>
  </si>
  <si>
    <t>Sum of Units Sold</t>
  </si>
  <si>
    <t>Total Profit</t>
  </si>
  <si>
    <t xml:space="preserve"> Cost Price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</si>
</sst>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2" fillId="0" borderId="0" xfId="1" applyFont="1"/>
    <xf numFmtId="0" fontId="1" fillId="0" borderId="0" xfId="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2">
    <cellStyle name="Normal" xfId="0" builtinId="0"/>
    <cellStyle name="Normal 2 2" xfId="1"/>
  </cellStyles>
  <dxfs count="0"/>
  <tableStyles count="0" defaultTableStyle="TableStyleMedium2" defaultPivotStyle="PivotStyleLight16"/>
  <colors>
    <mruColors>
      <color rgb="FF00CC00"/>
      <color rgb="FF15DF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report.xlsx]column!PivotTable3</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Product</a:t>
            </a:r>
            <a:r>
              <a:rPr lang="en-US" b="1" baseline="0">
                <a:solidFill>
                  <a:schemeClr val="bg1"/>
                </a:solidFill>
              </a:rPr>
              <a:t> Wise Profit</a:t>
            </a:r>
            <a:endParaRPr lang="en-US"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5DF1A"/>
          </a:solidFill>
          <a:ln>
            <a:noFill/>
          </a:ln>
          <a:effectLst>
            <a:outerShdw blurRad="50800" dist="50800" dir="5400000" algn="ctr" rotWithShape="0">
              <a:srgbClr val="000000">
                <a:alpha val="0"/>
              </a:srgbClr>
            </a:outerShdw>
          </a:effectLst>
          <a:sp3d/>
        </c:spPr>
        <c:dLbl>
          <c:idx val="0"/>
          <c:layout>
            <c:manualLayout>
              <c:x val="-9.166666666666666E-2"/>
              <c:y val="0"/>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dLbl>
          <c:idx val="0"/>
          <c:layout>
            <c:manualLayout>
              <c:x val="2.4999999999999897E-2"/>
              <c:y val="-0.16842107922105726"/>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5555555555555679E-3"/>
              <c:y val="-0.14436092504662049"/>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1111111111111112E-2"/>
              <c:y val="-0.2285714646571492"/>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18446118200401512"/>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dPt>
          <c:dPt>
            <c:idx val="1"/>
            <c:invertIfNegative val="0"/>
            <c:bubble3D val="0"/>
            <c:spPr>
              <a:solidFill>
                <a:schemeClr val="accent1"/>
              </a:solidFill>
              <a:ln>
                <a:noFill/>
              </a:ln>
              <a:effectLst/>
              <a:sp3d/>
            </c:spPr>
          </c:dPt>
          <c:dPt>
            <c:idx val="2"/>
            <c:invertIfNegative val="0"/>
            <c:bubble3D val="0"/>
            <c:spPr>
              <a:solidFill>
                <a:schemeClr val="accent1"/>
              </a:solidFill>
              <a:ln>
                <a:noFill/>
              </a:ln>
              <a:effectLst/>
              <a:sp3d/>
            </c:spPr>
          </c:dPt>
          <c:dPt>
            <c:idx val="3"/>
            <c:invertIfNegative val="0"/>
            <c:bubble3D val="0"/>
            <c:spPr>
              <a:solidFill>
                <a:srgbClr val="15DF1A"/>
              </a:solidFill>
              <a:ln>
                <a:noFill/>
              </a:ln>
              <a:effectLst>
                <a:outerShdw blurRad="50800" dist="50800" dir="5400000" algn="ctr" rotWithShape="0">
                  <a:srgbClr val="000000">
                    <a:alpha val="0"/>
                  </a:srgbClr>
                </a:outerShdw>
              </a:effectLst>
              <a:sp3d/>
            </c:spPr>
          </c:dPt>
          <c:dPt>
            <c:idx val="4"/>
            <c:invertIfNegative val="0"/>
            <c:bubble3D val="0"/>
            <c:spPr>
              <a:solidFill>
                <a:srgbClr val="FF0000"/>
              </a:solidFill>
              <a:ln>
                <a:noFill/>
              </a:ln>
              <a:effectLst/>
              <a:sp3d/>
            </c:spPr>
          </c:dPt>
          <c:dLbls>
            <c:dLbl>
              <c:idx val="0"/>
              <c:layout>
                <c:manualLayout>
                  <c:x val="-5.5555555555555679E-3"/>
                  <c:y val="-0.14436092504662049"/>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1111111111111112E-2"/>
                  <c:y val="-0.228571464657149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0.1844611820040151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9.166666666666666E-2"/>
                  <c:y val="0"/>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2.4999999999999897E-2"/>
                  <c:y val="-0.16842107922105726"/>
                </c:manualLayout>
              </c:layout>
              <c:showLegendKey val="0"/>
              <c:showVal val="1"/>
              <c:showCatName val="0"/>
              <c:showSerName val="0"/>
              <c:showPercent val="0"/>
              <c:showBubbleSize val="0"/>
              <c:extLst>
                <c:ext xmlns:c15="http://schemas.microsoft.com/office/drawing/2012/chart" uri="{CE6537A1-D6FC-4f65-9D91-7224C49458BB}"/>
              </c:extLst>
            </c:dLbl>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column!$A$4:$A$9</c:f>
              <c:strCache>
                <c:ptCount val="5"/>
                <c:pt idx="0">
                  <c:v>Cello Pen</c:v>
                </c:pt>
                <c:pt idx="1">
                  <c:v>Dettol</c:v>
                </c:pt>
                <c:pt idx="2">
                  <c:v>Lux</c:v>
                </c:pt>
                <c:pt idx="3">
                  <c:v>Pepsodent</c:v>
                </c:pt>
                <c:pt idx="4">
                  <c:v>Print Paper</c:v>
                </c:pt>
              </c:strCache>
            </c:strRef>
          </c:cat>
          <c:val>
            <c:numRef>
              <c:f>column!$B$4:$B$9</c:f>
              <c:numCache>
                <c:formatCode>General</c:formatCode>
                <c:ptCount val="5"/>
                <c:pt idx="0">
                  <c:v>30417.75</c:v>
                </c:pt>
                <c:pt idx="1">
                  <c:v>14699.25</c:v>
                </c:pt>
                <c:pt idx="2">
                  <c:v>22208</c:v>
                </c:pt>
                <c:pt idx="3">
                  <c:v>42126</c:v>
                </c:pt>
                <c:pt idx="4">
                  <c:v>11394</c:v>
                </c:pt>
              </c:numCache>
            </c:numRef>
          </c:val>
          <c:shape val="cylinder"/>
        </c:ser>
        <c:dLbls>
          <c:showLegendKey val="0"/>
          <c:showVal val="1"/>
          <c:showCatName val="0"/>
          <c:showSerName val="0"/>
          <c:showPercent val="0"/>
          <c:showBubbleSize val="0"/>
        </c:dLbls>
        <c:gapWidth val="150"/>
        <c:shape val="box"/>
        <c:axId val="424286520"/>
        <c:axId val="424289264"/>
        <c:axId val="0"/>
      </c:bar3DChart>
      <c:catAx>
        <c:axId val="424286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24289264"/>
        <c:crosses val="autoZero"/>
        <c:auto val="1"/>
        <c:lblAlgn val="ctr"/>
        <c:lblOffset val="100"/>
        <c:noMultiLvlLbl val="0"/>
      </c:catAx>
      <c:valAx>
        <c:axId val="424289264"/>
        <c:scaling>
          <c:orientation val="minMax"/>
        </c:scaling>
        <c:delete val="1"/>
        <c:axPos val="l"/>
        <c:numFmt formatCode="General" sourceLinked="1"/>
        <c:majorTickMark val="none"/>
        <c:minorTickMark val="none"/>
        <c:tickLblPos val="nextTo"/>
        <c:crossAx val="424286520"/>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report.xlsx]Pie chart!PivotTable4</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Value by Unit Sold</a:t>
            </a:r>
          </a:p>
          <a:p>
            <a:pPr>
              <a:defRPr b="1">
                <a:solidFill>
                  <a:schemeClr val="bg1"/>
                </a:solidFill>
              </a:defRPr>
            </a:pPr>
            <a:endParaRPr lang="en-US" b="1">
              <a:solidFill>
                <a:schemeClr val="bg1"/>
              </a:solidFill>
            </a:endParaRPr>
          </a:p>
        </c:rich>
      </c:tx>
      <c:layout>
        <c:manualLayout>
          <c:xMode val="edge"/>
          <c:yMode val="edge"/>
          <c:x val="0.29769858278345812"/>
          <c:y val="2.67570720326625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25400">
            <a:solidFill>
              <a:schemeClr val="lt1"/>
            </a:solidFill>
          </a:ln>
          <a:effectLst/>
          <a:sp3d contourW="25400">
            <a:contourClr>
              <a:schemeClr val="lt1"/>
            </a:contourClr>
          </a:sp3d>
        </c:spPr>
        <c:dLbl>
          <c:idx val="0"/>
          <c:layout>
            <c:manualLayout>
              <c:x val="0.11975149755157406"/>
              <c:y val="-1.6975112544026657E-16"/>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CC00"/>
          </a:solidFill>
          <a:ln w="25400">
            <a:solidFill>
              <a:schemeClr val="lt1"/>
            </a:solidFill>
          </a:ln>
          <a:effectLst/>
          <a:sp3d contourW="25400">
            <a:contourClr>
              <a:schemeClr val="lt1"/>
            </a:contourClr>
          </a:sp3d>
        </c:spPr>
        <c:dLbl>
          <c:idx val="0"/>
          <c:layout>
            <c:manualLayout>
              <c:x val="1.1139674190844006E-2"/>
              <c:y val="-0.15740740740740744"/>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1418166045615213"/>
              <c:y val="-4.6296296296296294E-3"/>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3.6203941120243353E-2"/>
              <c:y val="9.7222222222222224E-2"/>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17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27734033245843"/>
          <c:y val="0.12481189851268591"/>
          <c:w val="0.69321872265966755"/>
          <c:h val="0.74616324001166523"/>
        </c:manualLayout>
      </c:layout>
      <c:pie3DChart>
        <c:varyColors val="1"/>
        <c:ser>
          <c:idx val="0"/>
          <c:order val="0"/>
          <c:tx>
            <c:strRef>
              <c:f>'Pie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rgbClr val="00CC00"/>
              </a:solidFill>
              <a:ln w="25400">
                <a:solidFill>
                  <a:schemeClr val="lt1"/>
                </a:solidFill>
              </a:ln>
              <a:effectLst/>
              <a:sp3d contourW="25400">
                <a:contourClr>
                  <a:schemeClr val="lt1"/>
                </a:contourClr>
              </a:sp3d>
            </c:spPr>
          </c:dPt>
          <c:dPt>
            <c:idx val="3"/>
            <c:bubble3D val="0"/>
            <c:explosion val="41"/>
            <c:spPr>
              <a:solidFill>
                <a:srgbClr val="FF0000"/>
              </a:solidFill>
              <a:ln w="25400">
                <a:solidFill>
                  <a:schemeClr val="lt1"/>
                </a:solidFill>
              </a:ln>
              <a:effectLst/>
              <a:sp3d contourW="25400">
                <a:contourClr>
                  <a:schemeClr val="lt1"/>
                </a:contourClr>
              </a:sp3d>
            </c:spPr>
          </c:dPt>
          <c:dLbls>
            <c:dLbl>
              <c:idx val="0"/>
              <c:layout>
                <c:manualLayout>
                  <c:x val="-3.6203941120243353E-2"/>
                  <c:y val="9.7222222222222224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11418166045615213"/>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2"/>
              <c:layout>
                <c:manualLayout>
                  <c:x val="1.1139674190844006E-2"/>
                  <c:y val="-0.15740740740740744"/>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3"/>
              <c:layout>
                <c:manualLayout>
                  <c:x val="0.11975149755157406"/>
                  <c:y val="-1.6975112544026657E-16"/>
                </c:manualLayout>
              </c:layout>
              <c:dLblPos val="bestFit"/>
              <c:showLegendKey val="0"/>
              <c:showVal val="0"/>
              <c:showCatName val="1"/>
              <c:showSerName val="0"/>
              <c:showPercent val="1"/>
              <c:showBubbleSize val="0"/>
              <c:extLst>
                <c:ext xmlns:c15="http://schemas.microsoft.com/office/drawing/2012/chart" uri="{CE6537A1-D6FC-4f65-9D91-7224C49458BB}"/>
              </c:extLst>
            </c:dLbl>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chart'!$A$4:$A$8</c:f>
              <c:strCache>
                <c:ptCount val="4"/>
                <c:pt idx="0">
                  <c:v>1-50000</c:v>
                </c:pt>
                <c:pt idx="1">
                  <c:v>50001-100000</c:v>
                </c:pt>
                <c:pt idx="2">
                  <c:v>100001-150000</c:v>
                </c:pt>
                <c:pt idx="3">
                  <c:v>150001-200000</c:v>
                </c:pt>
              </c:strCache>
            </c:strRef>
          </c:cat>
          <c:val>
            <c:numRef>
              <c:f>'Pie chart'!$B$4:$B$8</c:f>
              <c:numCache>
                <c:formatCode>0.00%</c:formatCode>
                <c:ptCount val="4"/>
                <c:pt idx="0">
                  <c:v>0.36415766767598273</c:v>
                </c:pt>
                <c:pt idx="1">
                  <c:v>0.14287628285859749</c:v>
                </c:pt>
                <c:pt idx="2">
                  <c:v>0.40668292290790214</c:v>
                </c:pt>
                <c:pt idx="3">
                  <c:v>8.6283126557517617E-2</c:v>
                </c:pt>
              </c:numCache>
            </c:numRef>
          </c:val>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report.xlsx]line chart!PivotTable5</c:name>
    <c:fmtId val="6"/>
  </c:pivotSource>
  <c:chart>
    <c:title>
      <c:tx>
        <c:rich>
          <a:bodyPr rot="0" spcFirstLastPara="1" vertOverflow="ellipsis" vert="horz" wrap="square" anchor="ctr" anchorCtr="1"/>
          <a:lstStyle/>
          <a:p>
            <a:pPr>
              <a:defRPr sz="1400" b="1" i="0" u="none" strike="noStrike" kern="1200" spc="0" baseline="0">
                <a:solidFill>
                  <a:schemeClr val="lt1"/>
                </a:solidFill>
                <a:latin typeface="+mn-lt"/>
                <a:ea typeface="+mn-ea"/>
                <a:cs typeface="+mn-cs"/>
              </a:defRPr>
            </a:pPr>
            <a:r>
              <a:rPr lang="en-US" b="1"/>
              <a:t>Month Wise</a:t>
            </a:r>
            <a:r>
              <a:rPr lang="en-US" b="1" baseline="0"/>
              <a:t> Profit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7"/>
          <c:spPr>
            <a:solidFill>
              <a:schemeClr val="bg1"/>
            </a:solidFill>
            <a:ln w="9525">
              <a:solidFill>
                <a:schemeClr val="accent1"/>
              </a:solidFill>
            </a:ln>
            <a:effectLst/>
          </c:spPr>
        </c:marker>
        <c:dLbl>
          <c:idx val="0"/>
          <c:numFmt formatCode="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15DF1A"/>
            </a:solidFill>
            <a:prstDash val="dash"/>
            <a:round/>
          </a:ln>
          <a:effectLst/>
        </c:spPr>
        <c:marker>
          <c:symbol val="circle"/>
          <c:size val="7"/>
          <c:spPr>
            <a:solidFill>
              <a:schemeClr val="bg1"/>
            </a:solidFill>
            <a:ln w="9525">
              <a:solidFill>
                <a:schemeClr val="accent1"/>
              </a:solidFill>
            </a:ln>
            <a:effectLst/>
          </c:spPr>
        </c:marker>
      </c:pivotFmt>
      <c:pivotFmt>
        <c:idx val="2"/>
        <c:spPr>
          <a:ln w="28575" cap="rnd">
            <a:solidFill>
              <a:schemeClr val="accent1"/>
            </a:solidFill>
            <a:round/>
          </a:ln>
          <a:effectLst/>
        </c:spPr>
        <c:marker>
          <c:symbol val="circle"/>
          <c:size val="7"/>
          <c:spPr>
            <a:solidFill>
              <a:schemeClr val="bg1"/>
            </a:solidFill>
            <a:ln w="9525">
              <a:solidFill>
                <a:schemeClr val="accent1"/>
              </a:solidFill>
            </a:ln>
            <a:effectLst/>
          </c:spPr>
        </c:marker>
      </c:pivotFmt>
      <c:pivotFmt>
        <c:idx val="3"/>
        <c:spPr>
          <a:ln w="28575" cap="rnd">
            <a:solidFill>
              <a:schemeClr val="accent1"/>
            </a:solidFill>
            <a:round/>
          </a:ln>
          <a:effectLst/>
        </c:spPr>
        <c:marker>
          <c:symbol val="circle"/>
          <c:size val="7"/>
          <c:spPr>
            <a:solidFill>
              <a:schemeClr val="bg1"/>
            </a:solidFill>
            <a:ln w="9525">
              <a:solidFill>
                <a:schemeClr val="accent1"/>
              </a:solidFill>
            </a:ln>
            <a:effectLst/>
          </c:spPr>
        </c:marker>
      </c:pivotFmt>
    </c:pivotFmts>
    <c:plotArea>
      <c:layout>
        <c:manualLayout>
          <c:layoutTarget val="inner"/>
          <c:xMode val="edge"/>
          <c:yMode val="edge"/>
          <c:x val="2.7777777777777776E-2"/>
          <c:y val="0.16343184463390639"/>
          <c:w val="0.93888888888888888"/>
          <c:h val="0.68611787839137128"/>
        </c:manualLayout>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7"/>
            <c:spPr>
              <a:solidFill>
                <a:schemeClr val="bg1"/>
              </a:solidFill>
              <a:ln w="9525">
                <a:solidFill>
                  <a:schemeClr val="accent1"/>
                </a:solidFill>
              </a:ln>
              <a:effectLst/>
            </c:spPr>
          </c:marker>
          <c:dPt>
            <c:idx val="5"/>
            <c:marker>
              <c:symbol val="circle"/>
              <c:size val="7"/>
              <c:spPr>
                <a:solidFill>
                  <a:schemeClr val="bg1"/>
                </a:solidFill>
                <a:ln w="9525">
                  <a:solidFill>
                    <a:schemeClr val="accent1"/>
                  </a:solidFill>
                </a:ln>
                <a:effectLst/>
              </c:spPr>
            </c:marker>
            <c:bubble3D val="0"/>
            <c:spPr>
              <a:ln w="28575" cap="rnd">
                <a:solidFill>
                  <a:srgbClr val="15DF1A"/>
                </a:solidFill>
                <a:prstDash val="dash"/>
                <a:round/>
              </a:ln>
              <a:effectLst/>
            </c:spPr>
          </c:dPt>
          <c:dLbls>
            <c:numFmt formatCode="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chart'!$A$4:$A$10</c:f>
              <c:strCache>
                <c:ptCount val="6"/>
                <c:pt idx="0">
                  <c:v>Jan</c:v>
                </c:pt>
                <c:pt idx="1">
                  <c:v>Feb</c:v>
                </c:pt>
                <c:pt idx="2">
                  <c:v>Mar</c:v>
                </c:pt>
                <c:pt idx="3">
                  <c:v>Apr</c:v>
                </c:pt>
                <c:pt idx="4">
                  <c:v>Jun</c:v>
                </c:pt>
                <c:pt idx="5">
                  <c:v>Jul</c:v>
                </c:pt>
              </c:strCache>
            </c:strRef>
          </c:cat>
          <c:val>
            <c:numRef>
              <c:f>'line chart'!$B$4:$B$10</c:f>
              <c:numCache>
                <c:formatCode>General</c:formatCode>
                <c:ptCount val="6"/>
                <c:pt idx="0">
                  <c:v>22800</c:v>
                </c:pt>
                <c:pt idx="1">
                  <c:v>42387.5</c:v>
                </c:pt>
                <c:pt idx="2">
                  <c:v>13937.5</c:v>
                </c:pt>
                <c:pt idx="3">
                  <c:v>13857</c:v>
                </c:pt>
                <c:pt idx="4">
                  <c:v>13560.25</c:v>
                </c:pt>
                <c:pt idx="5">
                  <c:v>14302.75</c:v>
                </c:pt>
              </c:numCache>
            </c:numRef>
          </c:val>
          <c:smooth val="0"/>
        </c:ser>
        <c:dLbls>
          <c:dLblPos val="t"/>
          <c:showLegendKey val="0"/>
          <c:showVal val="1"/>
          <c:showCatName val="0"/>
          <c:showSerName val="0"/>
          <c:showPercent val="0"/>
          <c:showBubbleSize val="0"/>
        </c:dLbls>
        <c:marker val="1"/>
        <c:smooth val="0"/>
        <c:axId val="424289656"/>
        <c:axId val="424277504"/>
      </c:lineChart>
      <c:catAx>
        <c:axId val="4242896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424277504"/>
        <c:crosses val="autoZero"/>
        <c:auto val="1"/>
        <c:lblAlgn val="ctr"/>
        <c:lblOffset val="100"/>
        <c:noMultiLvlLbl val="0"/>
      </c:catAx>
      <c:valAx>
        <c:axId val="424277504"/>
        <c:scaling>
          <c:orientation val="minMax"/>
        </c:scaling>
        <c:delete val="1"/>
        <c:axPos val="l"/>
        <c:numFmt formatCode="General" sourceLinked="1"/>
        <c:majorTickMark val="out"/>
        <c:minorTickMark val="none"/>
        <c:tickLblPos val="nextTo"/>
        <c:crossAx val="424289656"/>
        <c:crosses val="autoZero"/>
        <c:crossBetween val="between"/>
      </c:valAx>
      <c:spPr>
        <a:solidFill>
          <a:schemeClr val="dk1"/>
        </a:solidFill>
        <a:ln w="19050" cap="flat" cmpd="sng" algn="ctr">
          <a:noFill/>
          <a:prstDash val="solid"/>
          <a:miter lim="800000"/>
        </a:ln>
        <a:effectLst/>
      </c:spPr>
    </c:plotArea>
    <c:plotVisOnly val="1"/>
    <c:dispBlanksAs val="gap"/>
    <c:showDLblsOverMax val="0"/>
  </c:chart>
  <c:spPr>
    <a:solidFill>
      <a:schemeClr val="dk1"/>
    </a:solidFill>
    <a:ln w="9525" cap="flat" cmpd="sng" algn="ctr">
      <a:solidFill>
        <a:schemeClr val="tx1">
          <a:lumMod val="15000"/>
          <a:lumOff val="85000"/>
        </a:schemeClr>
      </a:solid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report.xlsx]Donut chart!PivotTable1</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Region Wise 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666666666666667"/>
              <c:y val="-0.12962962962962962"/>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5"/>
              <c:y val="-0.125"/>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w="19050">
            <a:solidFill>
              <a:schemeClr val="lt1"/>
            </a:solidFill>
          </a:ln>
          <a:effectLst/>
        </c:spPr>
        <c:dLbl>
          <c:idx val="0"/>
          <c:layout>
            <c:manualLayout>
              <c:x val="0.10833333333333323"/>
              <c:y val="0.24537037037037038"/>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CC00"/>
          </a:solidFill>
          <a:ln w="19050">
            <a:solidFill>
              <a:schemeClr val="lt1"/>
            </a:solidFill>
          </a:ln>
          <a:effectLst/>
        </c:spPr>
        <c:dLbl>
          <c:idx val="0"/>
          <c:layout>
            <c:manualLayout>
              <c:x val="-0.1944444444444445"/>
              <c:y val="0"/>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lt1"/>
                </a:solidFill>
              </a:ln>
              <a:effectLst/>
            </c:spPr>
          </c:dPt>
          <c:dPt>
            <c:idx val="1"/>
            <c:bubble3D val="0"/>
            <c:explosion val="68"/>
            <c:spPr>
              <a:solidFill>
                <a:srgbClr val="FF0000"/>
              </a:solidFill>
              <a:ln w="19050">
                <a:solidFill>
                  <a:schemeClr val="lt1"/>
                </a:solidFill>
              </a:ln>
              <a:effectLst/>
            </c:spPr>
          </c:dPt>
          <c:dPt>
            <c:idx val="2"/>
            <c:bubble3D val="0"/>
            <c:spPr>
              <a:solidFill>
                <a:srgbClr val="00CC00"/>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25"/>
                  <c:y val="-0.125"/>
                </c:manualLayout>
              </c:layout>
              <c:showLegendKey val="0"/>
              <c:showVal val="0"/>
              <c:showCatName val="1"/>
              <c:showSerName val="0"/>
              <c:showPercent val="1"/>
              <c:showBubbleSize val="0"/>
              <c:extLst>
                <c:ext xmlns:c15="http://schemas.microsoft.com/office/drawing/2012/chart" uri="{CE6537A1-D6FC-4f65-9D91-7224C49458BB}"/>
              </c:extLst>
            </c:dLbl>
            <c:dLbl>
              <c:idx val="1"/>
              <c:layout>
                <c:manualLayout>
                  <c:x val="0.10833333333333323"/>
                  <c:y val="0.24537037037037038"/>
                </c:manualLayout>
              </c:layout>
              <c:showLegendKey val="0"/>
              <c:showVal val="0"/>
              <c:showCatName val="1"/>
              <c:showSerName val="0"/>
              <c:showPercent val="1"/>
              <c:showBubbleSize val="0"/>
              <c:extLst>
                <c:ext xmlns:c15="http://schemas.microsoft.com/office/drawing/2012/chart" uri="{CE6537A1-D6FC-4f65-9D91-7224C49458BB}"/>
              </c:extLst>
            </c:dLbl>
            <c:dLbl>
              <c:idx val="2"/>
              <c:layout>
                <c:manualLayout>
                  <c:x val="-0.1944444444444445"/>
                  <c:y val="0"/>
                </c:manualLayout>
              </c:layout>
              <c:showLegendKey val="0"/>
              <c:showVal val="0"/>
              <c:showCatName val="1"/>
              <c:showSerName val="0"/>
              <c:showPercent val="1"/>
              <c:showBubbleSize val="0"/>
              <c:extLst>
                <c:ext xmlns:c15="http://schemas.microsoft.com/office/drawing/2012/chart" uri="{CE6537A1-D6FC-4f65-9D91-7224C49458BB}"/>
              </c:extLst>
            </c:dLbl>
            <c:dLbl>
              <c:idx val="3"/>
              <c:layout>
                <c:manualLayout>
                  <c:x val="-0.11666666666666667"/>
                  <c:y val="-0.12962962962962962"/>
                </c:manualLayout>
              </c:layout>
              <c:showLegendKey val="0"/>
              <c:showVal val="0"/>
              <c:showCatName val="1"/>
              <c:showSerName val="0"/>
              <c:showPercent val="1"/>
              <c:showBubbleSize val="0"/>
              <c:extLst>
                <c:ext xmlns:c15="http://schemas.microsoft.com/office/drawing/2012/chart" uri="{CE6537A1-D6FC-4f65-9D91-7224C49458BB}"/>
              </c:extLst>
            </c:dLbl>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chart'!$A$4:$A$8</c:f>
              <c:strCache>
                <c:ptCount val="4"/>
                <c:pt idx="0">
                  <c:v>East</c:v>
                </c:pt>
                <c:pt idx="1">
                  <c:v>North</c:v>
                </c:pt>
                <c:pt idx="2">
                  <c:v>South</c:v>
                </c:pt>
                <c:pt idx="3">
                  <c:v>West</c:v>
                </c:pt>
              </c:strCache>
            </c:strRef>
          </c:cat>
          <c:val>
            <c:numRef>
              <c:f>'Donut chart'!$B$4:$B$8</c:f>
              <c:numCache>
                <c:formatCode>0.00%</c:formatCode>
                <c:ptCount val="4"/>
                <c:pt idx="0">
                  <c:v>0.21522548835713712</c:v>
                </c:pt>
                <c:pt idx="1">
                  <c:v>0.17465634127388194</c:v>
                </c:pt>
                <c:pt idx="2">
                  <c:v>0.39229346981430369</c:v>
                </c:pt>
                <c:pt idx="3">
                  <c:v>0.21782470055467723</c:v>
                </c:pt>
              </c:numCache>
            </c:numRef>
          </c:val>
        </c:ser>
        <c:dLbls>
          <c:showLegendKey val="0"/>
          <c:showVal val="0"/>
          <c:showCatName val="0"/>
          <c:showSerName val="0"/>
          <c:showPercent val="0"/>
          <c:showBubbleSize val="0"/>
          <c:showLeaderLines val="1"/>
        </c:dLbls>
        <c:firstSliceAng val="341"/>
        <c:holeSize val="56"/>
      </c:doughnutChart>
      <c:spPr>
        <a:noFill/>
        <a:ln>
          <a:noFill/>
        </a:ln>
        <a:effectLst/>
      </c:spPr>
    </c:plotArea>
    <c:plotVisOnly val="1"/>
    <c:dispBlanksAs val="gap"/>
    <c:showDLblsOverMax val="0"/>
  </c:chart>
  <c:spPr>
    <a:solidFill>
      <a:schemeClr val="dk1"/>
    </a:solidFill>
    <a:ln w="12700" cap="flat" cmpd="sng" algn="ctr">
      <a:solidFill>
        <a:schemeClr val="dk1">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report.xlsx]Combo!PivotTable2</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Region</a:t>
            </a:r>
            <a:r>
              <a:rPr lang="en-US" b="1" baseline="0"/>
              <a:t> Wise Profit And Unit Sold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rgbClr val="00CC00"/>
          </a:solidFill>
          <a:ln>
            <a:noFill/>
          </a:ln>
          <a:effectLst/>
        </c:spPr>
        <c:marker>
          <c:symbol val="none"/>
        </c:marker>
        <c:dLbl>
          <c:idx val="0"/>
          <c:numFmt formatCode="0.0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1"/>
            </a:solidFill>
            <a:round/>
          </a:ln>
          <a:effectLst/>
        </c:spPr>
        <c:marker>
          <c:symbol val="circle"/>
          <c:size val="7"/>
          <c:spPr>
            <a:solidFill>
              <a:srgbClr val="FFFF00"/>
            </a:solidFill>
            <a:ln w="9525">
              <a:solidFill>
                <a:schemeClr val="accent2"/>
              </a:solidFill>
            </a:ln>
            <a:effectLst/>
          </c:spPr>
        </c:marker>
        <c:dLbl>
          <c:idx val="0"/>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2"/>
            </a:solidFill>
            <a:round/>
          </a:ln>
          <a:effectLst/>
        </c:spPr>
        <c:marker>
          <c:symbol val="circle"/>
          <c:size val="7"/>
          <c:spPr>
            <a:solidFill>
              <a:srgbClr val="FFFF00"/>
            </a:solidFill>
            <a:ln w="9525">
              <a:solidFill>
                <a:schemeClr val="accent2"/>
              </a:solidFill>
            </a:ln>
            <a:effectLst/>
          </c:spPr>
        </c:marker>
      </c:pivotFmt>
      <c:pivotFmt>
        <c:idx val="3"/>
        <c:spPr>
          <a:ln w="28575" cap="rnd">
            <a:solidFill>
              <a:schemeClr val="accent1"/>
            </a:solidFill>
            <a:round/>
          </a:ln>
          <a:effectLst/>
        </c:spPr>
        <c:marker>
          <c:symbol val="circle"/>
          <c:size val="7"/>
          <c:spPr>
            <a:solidFill>
              <a:srgbClr val="FFFF00"/>
            </a:solidFill>
            <a:ln w="9525">
              <a:solidFill>
                <a:schemeClr val="accent2"/>
              </a:solidFill>
            </a:ln>
            <a:effectLst/>
          </c:spPr>
        </c:marker>
        <c:dLbl>
          <c:idx val="0"/>
          <c:layout>
            <c:manualLayout>
              <c:x val="-4.4444444444444446E-2"/>
              <c:y val="0.1111111111111112"/>
            </c:manualLayout>
          </c:layout>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Combo!$B$3</c:f>
              <c:strCache>
                <c:ptCount val="1"/>
                <c:pt idx="0">
                  <c:v>Total Profit</c:v>
                </c:pt>
              </c:strCache>
            </c:strRef>
          </c:tx>
          <c:spPr>
            <a:solidFill>
              <a:srgbClr val="00CC00"/>
            </a:solidFill>
            <a:ln>
              <a:noFill/>
            </a:ln>
            <a:effectLst/>
          </c:spPr>
          <c:invertIfNegative val="0"/>
          <c:dLbls>
            <c:numFmt formatCode="0.0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Combo!$A$4:$A$8</c:f>
              <c:strCache>
                <c:ptCount val="4"/>
                <c:pt idx="0">
                  <c:v>East</c:v>
                </c:pt>
                <c:pt idx="1">
                  <c:v>North</c:v>
                </c:pt>
                <c:pt idx="2">
                  <c:v>South</c:v>
                </c:pt>
                <c:pt idx="3">
                  <c:v>West</c:v>
                </c:pt>
              </c:strCache>
            </c:strRef>
          </c:cat>
          <c:val>
            <c:numRef>
              <c:f>Combo!$B$4:$B$8</c:f>
              <c:numCache>
                <c:formatCode>General</c:formatCode>
                <c:ptCount val="4"/>
                <c:pt idx="0">
                  <c:v>28523.25</c:v>
                </c:pt>
                <c:pt idx="1">
                  <c:v>21916.5</c:v>
                </c:pt>
                <c:pt idx="2">
                  <c:v>36871.75</c:v>
                </c:pt>
                <c:pt idx="3">
                  <c:v>33533.5</c:v>
                </c:pt>
              </c:numCache>
            </c:numRef>
          </c:val>
        </c:ser>
        <c:dLbls>
          <c:showLegendKey val="0"/>
          <c:showVal val="0"/>
          <c:showCatName val="0"/>
          <c:showSerName val="0"/>
          <c:showPercent val="0"/>
          <c:showBubbleSize val="0"/>
        </c:dLbls>
        <c:gapWidth val="130"/>
        <c:axId val="424279464"/>
        <c:axId val="424277896"/>
      </c:barChart>
      <c:lineChart>
        <c:grouping val="standard"/>
        <c:varyColors val="0"/>
        <c:ser>
          <c:idx val="1"/>
          <c:order val="1"/>
          <c:tx>
            <c:strRef>
              <c:f>Combo!$C$3</c:f>
              <c:strCache>
                <c:ptCount val="1"/>
                <c:pt idx="0">
                  <c:v> Cost Price</c:v>
                </c:pt>
              </c:strCache>
            </c:strRef>
          </c:tx>
          <c:spPr>
            <a:ln w="28575" cap="rnd">
              <a:solidFill>
                <a:schemeClr val="accent2"/>
              </a:solidFill>
              <a:round/>
            </a:ln>
            <a:effectLst/>
          </c:spPr>
          <c:marker>
            <c:symbol val="circle"/>
            <c:size val="7"/>
            <c:spPr>
              <a:solidFill>
                <a:srgbClr val="FFFF00"/>
              </a:solidFill>
              <a:ln w="9525">
                <a:solidFill>
                  <a:schemeClr val="accent2"/>
                </a:solidFill>
              </a:ln>
              <a:effectLst/>
            </c:spPr>
          </c:marker>
          <c:dPt>
            <c:idx val="2"/>
            <c:marker>
              <c:symbol val="circle"/>
              <c:size val="7"/>
              <c:spPr>
                <a:solidFill>
                  <a:srgbClr val="FFFF00"/>
                </a:solidFill>
                <a:ln w="9525">
                  <a:solidFill>
                    <a:schemeClr val="accent2"/>
                  </a:solidFill>
                </a:ln>
                <a:effectLst/>
              </c:spPr>
            </c:marker>
            <c:bubble3D val="0"/>
          </c:dPt>
          <c:dLbls>
            <c:dLbl>
              <c:idx val="2"/>
              <c:layout>
                <c:manualLayout>
                  <c:x val="-4.4444444444444446E-2"/>
                  <c:y val="0.1111111111111112"/>
                </c:manualLayout>
              </c:layout>
              <c:showLegendKey val="0"/>
              <c:showVal val="1"/>
              <c:showCatName val="0"/>
              <c:showSerName val="0"/>
              <c:showPercent val="0"/>
              <c:showBubbleSize val="0"/>
              <c:separator>
</c:separator>
              <c:extLst>
                <c:ext xmlns:c15="http://schemas.microsoft.com/office/drawing/2012/chart" uri="{CE6537A1-D6FC-4f65-9D91-7224C49458BB}"/>
              </c:extLst>
            </c:dLbl>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Combo!$A$4:$A$8</c:f>
              <c:strCache>
                <c:ptCount val="4"/>
                <c:pt idx="0">
                  <c:v>East</c:v>
                </c:pt>
                <c:pt idx="1">
                  <c:v>North</c:v>
                </c:pt>
                <c:pt idx="2">
                  <c:v>South</c:v>
                </c:pt>
                <c:pt idx="3">
                  <c:v>West</c:v>
                </c:pt>
              </c:strCache>
            </c:strRef>
          </c:cat>
          <c:val>
            <c:numRef>
              <c:f>Combo!$C$4:$C$8</c:f>
              <c:numCache>
                <c:formatCode>General</c:formatCode>
                <c:ptCount val="4"/>
                <c:pt idx="0">
                  <c:v>4232864</c:v>
                </c:pt>
                <c:pt idx="1">
                  <c:v>1981472</c:v>
                </c:pt>
                <c:pt idx="2">
                  <c:v>6426960</c:v>
                </c:pt>
                <c:pt idx="3">
                  <c:v>3186568</c:v>
                </c:pt>
              </c:numCache>
            </c:numRef>
          </c:val>
          <c:smooth val="0"/>
        </c:ser>
        <c:dLbls>
          <c:showLegendKey val="0"/>
          <c:showVal val="0"/>
          <c:showCatName val="0"/>
          <c:showSerName val="0"/>
          <c:showPercent val="0"/>
          <c:showBubbleSize val="0"/>
        </c:dLbls>
        <c:marker val="1"/>
        <c:smooth val="0"/>
        <c:axId val="424279072"/>
        <c:axId val="424284168"/>
      </c:lineChart>
      <c:catAx>
        <c:axId val="4242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4284168"/>
        <c:crosses val="autoZero"/>
        <c:auto val="1"/>
        <c:lblAlgn val="ctr"/>
        <c:lblOffset val="100"/>
        <c:noMultiLvlLbl val="0"/>
      </c:catAx>
      <c:valAx>
        <c:axId val="424284168"/>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4279072"/>
        <c:crosses val="autoZero"/>
        <c:crossBetween val="between"/>
      </c:valAx>
      <c:valAx>
        <c:axId val="424277896"/>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4279464"/>
        <c:crosses val="max"/>
        <c:crossBetween val="between"/>
      </c:valAx>
      <c:catAx>
        <c:axId val="424279464"/>
        <c:scaling>
          <c:orientation val="minMax"/>
        </c:scaling>
        <c:delete val="1"/>
        <c:axPos val="b"/>
        <c:numFmt formatCode="General" sourceLinked="1"/>
        <c:majorTickMark val="out"/>
        <c:minorTickMark val="none"/>
        <c:tickLblPos val="nextTo"/>
        <c:crossAx val="4242778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dk1"/>
    </a:solidFill>
    <a:ln w="12700" cap="flat" cmpd="sng" algn="ctr">
      <a:solidFill>
        <a:schemeClr val="dk1">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report.xlsx]Pie chart!PivotTable4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Sales</a:t>
            </a:r>
            <a:r>
              <a:rPr lang="en-US" b="1" baseline="0">
                <a:solidFill>
                  <a:schemeClr val="bg1"/>
                </a:solidFill>
              </a:rPr>
              <a:t> Value by Unit Sold</a:t>
            </a:r>
          </a:p>
          <a:p>
            <a:pPr>
              <a:defRPr b="1">
                <a:solidFill>
                  <a:schemeClr val="bg1"/>
                </a:solidFill>
              </a:defRPr>
            </a:pPr>
            <a:endParaRPr lang="en-US" b="1">
              <a:solidFill>
                <a:schemeClr val="bg1"/>
              </a:solidFill>
            </a:endParaRPr>
          </a:p>
        </c:rich>
      </c:tx>
      <c:layout>
        <c:manualLayout>
          <c:xMode val="edge"/>
          <c:yMode val="edge"/>
          <c:x val="0.29769849502661311"/>
          <c:y val="3.608923884514437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25400">
            <a:solidFill>
              <a:schemeClr val="lt1"/>
            </a:solidFill>
          </a:ln>
          <a:effectLst/>
          <a:sp3d contourW="25400">
            <a:contourClr>
              <a:schemeClr val="lt1"/>
            </a:contourClr>
          </a:sp3d>
        </c:spPr>
        <c:dLbl>
          <c:idx val="0"/>
          <c:layout>
            <c:manualLayout>
              <c:x val="0.11975149755157406"/>
              <c:y val="-1.6975112544026657E-16"/>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CC00"/>
          </a:solidFill>
          <a:ln w="25400">
            <a:solidFill>
              <a:schemeClr val="lt1"/>
            </a:solidFill>
          </a:ln>
          <a:effectLst/>
          <a:sp3d contourW="25400">
            <a:contourClr>
              <a:schemeClr val="lt1"/>
            </a:contourClr>
          </a:sp3d>
        </c:spPr>
        <c:dLbl>
          <c:idx val="0"/>
          <c:layout>
            <c:manualLayout>
              <c:x val="1.1139674190844006E-2"/>
              <c:y val="-0.15740740740740744"/>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1418166045615213"/>
              <c:y val="-4.6296296296296294E-3"/>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3.6203941120243353E-2"/>
              <c:y val="9.7222222222222224E-2"/>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3.6203941120243353E-2"/>
              <c:y val="9.7222222222222224E-2"/>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1418166045615213"/>
              <c:y val="-4.6296296296296294E-3"/>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CC00"/>
          </a:solidFill>
          <a:ln w="25400">
            <a:solidFill>
              <a:schemeClr val="lt1"/>
            </a:solidFill>
          </a:ln>
          <a:effectLst/>
          <a:sp3d contourW="25400">
            <a:contourClr>
              <a:schemeClr val="lt1"/>
            </a:contourClr>
          </a:sp3d>
        </c:spPr>
        <c:dLbl>
          <c:idx val="0"/>
          <c:layout>
            <c:manualLayout>
              <c:x val="1.1139674190844006E-2"/>
              <c:y val="-0.15740740740740744"/>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0000"/>
          </a:solidFill>
          <a:ln w="25400">
            <a:solidFill>
              <a:schemeClr val="lt1"/>
            </a:solidFill>
          </a:ln>
          <a:effectLst/>
          <a:sp3d contourW="25400">
            <a:contourClr>
              <a:schemeClr val="lt1"/>
            </a:contourClr>
          </a:sp3d>
        </c:spPr>
        <c:dLbl>
          <c:idx val="0"/>
          <c:layout>
            <c:manualLayout>
              <c:x val="0.11975149755157406"/>
              <c:y val="-1.6975112544026657E-16"/>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3.6203941120243353E-2"/>
              <c:y val="9.7222222222222224E-2"/>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0.11418166045615213"/>
              <c:y val="-4.6296296296296294E-3"/>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3"/>
        <c:spPr>
          <a:solidFill>
            <a:srgbClr val="00CC00"/>
          </a:solidFill>
          <a:ln w="25400">
            <a:solidFill>
              <a:schemeClr val="lt1"/>
            </a:solidFill>
          </a:ln>
          <a:effectLst/>
          <a:sp3d contourW="25400">
            <a:contourClr>
              <a:schemeClr val="lt1"/>
            </a:contourClr>
          </a:sp3d>
        </c:spPr>
        <c:dLbl>
          <c:idx val="0"/>
          <c:layout>
            <c:manualLayout>
              <c:x val="1.1139674190844006E-2"/>
              <c:y val="-0.15740740740740744"/>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rgbClr val="FF0000"/>
          </a:solidFill>
          <a:ln w="25400">
            <a:solidFill>
              <a:schemeClr val="lt1"/>
            </a:solidFill>
          </a:ln>
          <a:effectLst/>
          <a:sp3d contourW="25400">
            <a:contourClr>
              <a:schemeClr val="lt1"/>
            </a:contourClr>
          </a:sp3d>
        </c:spPr>
        <c:dLbl>
          <c:idx val="0"/>
          <c:layout>
            <c:manualLayout>
              <c:x val="0.11975149755157406"/>
              <c:y val="-1.6975112544026657E-16"/>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30"/>
      <c:rotY val="17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27734033245843"/>
          <c:y val="0.12481189851268591"/>
          <c:w val="0.69321872265966755"/>
          <c:h val="0.74616324001166523"/>
        </c:manualLayout>
      </c:layout>
      <c:pie3DChart>
        <c:varyColors val="1"/>
        <c:ser>
          <c:idx val="0"/>
          <c:order val="0"/>
          <c:tx>
            <c:strRef>
              <c:f>'Pie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rgbClr val="00CC00"/>
              </a:solidFill>
              <a:ln w="25400">
                <a:solidFill>
                  <a:schemeClr val="lt1"/>
                </a:solidFill>
              </a:ln>
              <a:effectLst/>
              <a:sp3d contourW="25400">
                <a:contourClr>
                  <a:schemeClr val="lt1"/>
                </a:contourClr>
              </a:sp3d>
            </c:spPr>
          </c:dPt>
          <c:dPt>
            <c:idx val="3"/>
            <c:bubble3D val="0"/>
            <c:explosion val="41"/>
            <c:spPr>
              <a:solidFill>
                <a:srgbClr val="FF0000"/>
              </a:solidFill>
              <a:ln w="25400">
                <a:solidFill>
                  <a:schemeClr val="lt1"/>
                </a:solidFill>
              </a:ln>
              <a:effectLst/>
              <a:sp3d contourW="25400">
                <a:contourClr>
                  <a:schemeClr val="lt1"/>
                </a:contourClr>
              </a:sp3d>
            </c:spPr>
          </c:dPt>
          <c:dLbls>
            <c:dLbl>
              <c:idx val="0"/>
              <c:layout>
                <c:manualLayout>
                  <c:x val="-3.6203941120243353E-2"/>
                  <c:y val="9.7222222222222224E-2"/>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11418166045615213"/>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1.1139674190844006E-2"/>
                  <c:y val="-0.15740740740740744"/>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0.11975149755157406"/>
                  <c:y val="-1.6975112544026657E-16"/>
                </c:manualLayout>
              </c:layout>
              <c:dLblPos val="bestFit"/>
              <c:showLegendKey val="0"/>
              <c:showVal val="0"/>
              <c:showCatName val="1"/>
              <c:showSerName val="0"/>
              <c:showPercent val="1"/>
              <c:showBubbleSize val="0"/>
              <c:extLst>
                <c:ext xmlns:c15="http://schemas.microsoft.com/office/drawing/2012/chart" uri="{CE6537A1-D6FC-4f65-9D91-7224C49458BB}">
                  <c15:layout/>
                </c:ext>
              </c:extLst>
            </c:dLbl>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chart'!$A$4:$A$8</c:f>
              <c:strCache>
                <c:ptCount val="4"/>
                <c:pt idx="0">
                  <c:v>1-50000</c:v>
                </c:pt>
                <c:pt idx="1">
                  <c:v>50001-100000</c:v>
                </c:pt>
                <c:pt idx="2">
                  <c:v>100001-150000</c:v>
                </c:pt>
                <c:pt idx="3">
                  <c:v>150001-200000</c:v>
                </c:pt>
              </c:strCache>
            </c:strRef>
          </c:cat>
          <c:val>
            <c:numRef>
              <c:f>'Pie chart'!$B$4:$B$8</c:f>
              <c:numCache>
                <c:formatCode>0.00%</c:formatCode>
                <c:ptCount val="4"/>
                <c:pt idx="0">
                  <c:v>0.36415766767598273</c:v>
                </c:pt>
                <c:pt idx="1">
                  <c:v>0.14287628285859749</c:v>
                </c:pt>
                <c:pt idx="2">
                  <c:v>0.40668292290790214</c:v>
                </c:pt>
                <c:pt idx="3">
                  <c:v>8.6283126557517617E-2</c:v>
                </c:pt>
              </c:numCache>
            </c:numRef>
          </c:val>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report.xlsx]column!PivotTable3</c:name>
    <c:fmtId val="3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Product</a:t>
            </a:r>
            <a:r>
              <a:rPr lang="en-US" b="1" baseline="0">
                <a:solidFill>
                  <a:schemeClr val="bg1"/>
                </a:solidFill>
              </a:rPr>
              <a:t> Wise Profit</a:t>
            </a:r>
            <a:endParaRPr lang="en-US" b="1">
              <a:solidFill>
                <a:schemeClr val="bg1"/>
              </a:solidFill>
            </a:endParaRPr>
          </a:p>
        </c:rich>
      </c:tx>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5DF1A"/>
          </a:solidFill>
          <a:ln>
            <a:noFill/>
          </a:ln>
          <a:effectLst>
            <a:outerShdw blurRad="50800" dist="50800" dir="5400000" algn="ctr" rotWithShape="0">
              <a:srgbClr val="000000">
                <a:alpha val="0"/>
              </a:srgbClr>
            </a:outerShdw>
          </a:effectLst>
          <a:sp3d/>
        </c:spPr>
        <c:dLbl>
          <c:idx val="0"/>
          <c:layout>
            <c:manualLayout>
              <c:x val="-9.166666666666666E-2"/>
              <c:y val="0"/>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dLbl>
          <c:idx val="0"/>
          <c:layout>
            <c:manualLayout>
              <c:x val="2.4999999999999897E-2"/>
              <c:y val="-0.16842107922105726"/>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5555555555555679E-3"/>
              <c:y val="-0.14436092504662049"/>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1111111111111112E-2"/>
              <c:y val="-0.2285714646571492"/>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18446118200401512"/>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5.5555555555555679E-3"/>
              <c:y val="-0.14436092504662049"/>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1111111111111112E-2"/>
              <c:y val="-0.2285714646571492"/>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
              <c:y val="-0.18446118200401512"/>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5DF1A"/>
          </a:solidFill>
          <a:ln>
            <a:noFill/>
          </a:ln>
          <a:effectLst>
            <a:outerShdw blurRad="50800" dist="50800" dir="5400000" algn="ctr" rotWithShape="0">
              <a:srgbClr val="000000">
                <a:alpha val="0"/>
              </a:srgbClr>
            </a:outerShdw>
          </a:effectLst>
          <a:sp3d/>
        </c:spPr>
        <c:dLbl>
          <c:idx val="0"/>
          <c:layout>
            <c:manualLayout>
              <c:x val="-9.166666666666666E-2"/>
              <c:y val="0"/>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p3d/>
        </c:spPr>
        <c:dLbl>
          <c:idx val="0"/>
          <c:layout>
            <c:manualLayout>
              <c:x val="2.4999999999999897E-2"/>
              <c:y val="-0.16842107922105726"/>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5.5555555555555679E-3"/>
              <c:y val="-0.14436092504662049"/>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a:sp3d/>
        </c:spPr>
        <c:dLbl>
          <c:idx val="0"/>
          <c:layout>
            <c:manualLayout>
              <c:x val="1.1111111111111112E-2"/>
              <c:y val="-0.2285714646571492"/>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a:sp3d/>
        </c:spPr>
        <c:dLbl>
          <c:idx val="0"/>
          <c:layout>
            <c:manualLayout>
              <c:x val="0"/>
              <c:y val="-0.18446118200401512"/>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rgbClr val="15DF1A"/>
          </a:solidFill>
          <a:ln>
            <a:noFill/>
          </a:ln>
          <a:effectLst>
            <a:outerShdw blurRad="50800" dist="50800" dir="5400000" algn="ctr" rotWithShape="0">
              <a:srgbClr val="000000">
                <a:alpha val="0"/>
              </a:srgbClr>
            </a:outerShdw>
          </a:effectLst>
          <a:sp3d/>
        </c:spPr>
        <c:dLbl>
          <c:idx val="0"/>
          <c:layout>
            <c:manualLayout>
              <c:x val="-9.166666666666666E-2"/>
              <c:y val="0"/>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rgbClr val="FF0000"/>
          </a:solidFill>
          <a:ln>
            <a:noFill/>
          </a:ln>
          <a:effectLst/>
          <a:sp3d/>
        </c:spPr>
        <c:dLbl>
          <c:idx val="0"/>
          <c:layout>
            <c:manualLayout>
              <c:x val="2.4999999999999897E-2"/>
              <c:y val="-0.16842107922105726"/>
            </c:manualLayout>
          </c:layout>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dPt>
          <c:dPt>
            <c:idx val="1"/>
            <c:invertIfNegative val="0"/>
            <c:bubble3D val="0"/>
            <c:spPr>
              <a:solidFill>
                <a:schemeClr val="accent1"/>
              </a:solidFill>
              <a:ln>
                <a:noFill/>
              </a:ln>
              <a:effectLst/>
              <a:sp3d/>
            </c:spPr>
          </c:dPt>
          <c:dPt>
            <c:idx val="2"/>
            <c:invertIfNegative val="0"/>
            <c:bubble3D val="0"/>
            <c:spPr>
              <a:solidFill>
                <a:schemeClr val="accent1"/>
              </a:solidFill>
              <a:ln>
                <a:noFill/>
              </a:ln>
              <a:effectLst/>
              <a:sp3d/>
            </c:spPr>
          </c:dPt>
          <c:dPt>
            <c:idx val="3"/>
            <c:invertIfNegative val="0"/>
            <c:bubble3D val="0"/>
            <c:spPr>
              <a:solidFill>
                <a:srgbClr val="15DF1A"/>
              </a:solidFill>
              <a:ln>
                <a:noFill/>
              </a:ln>
              <a:effectLst>
                <a:outerShdw blurRad="50800" dist="50800" dir="5400000" algn="ctr" rotWithShape="0">
                  <a:srgbClr val="000000">
                    <a:alpha val="0"/>
                  </a:srgbClr>
                </a:outerShdw>
              </a:effectLst>
              <a:sp3d/>
            </c:spPr>
          </c:dPt>
          <c:dPt>
            <c:idx val="4"/>
            <c:invertIfNegative val="0"/>
            <c:bubble3D val="0"/>
            <c:spPr>
              <a:solidFill>
                <a:srgbClr val="FF0000"/>
              </a:solidFill>
              <a:ln>
                <a:noFill/>
              </a:ln>
              <a:effectLst/>
              <a:sp3d/>
            </c:spPr>
          </c:dPt>
          <c:dLbls>
            <c:dLbl>
              <c:idx val="0"/>
              <c:layout>
                <c:manualLayout>
                  <c:x val="-5.5555555555555679E-3"/>
                  <c:y val="-0.14436092504662049"/>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1111111111111112E-2"/>
                  <c:y val="-0.228571464657149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1844611820040151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9.166666666666666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2.4999999999999897E-2"/>
                  <c:y val="-0.16842107922105726"/>
                </c:manualLayout>
              </c:layout>
              <c:showLegendKey val="0"/>
              <c:showVal val="1"/>
              <c:showCatName val="0"/>
              <c:showSerName val="0"/>
              <c:showPercent val="0"/>
              <c:showBubbleSize val="0"/>
              <c:extLst>
                <c:ext xmlns:c15="http://schemas.microsoft.com/office/drawing/2012/chart" uri="{CE6537A1-D6FC-4f65-9D91-7224C49458BB}">
                  <c15:layout/>
                </c:ext>
              </c:extLst>
            </c:dLbl>
            <c:numFmt formatCode="0.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column!$A$4:$A$9</c:f>
              <c:strCache>
                <c:ptCount val="5"/>
                <c:pt idx="0">
                  <c:v>Cello Pen</c:v>
                </c:pt>
                <c:pt idx="1">
                  <c:v>Dettol</c:v>
                </c:pt>
                <c:pt idx="2">
                  <c:v>Lux</c:v>
                </c:pt>
                <c:pt idx="3">
                  <c:v>Pepsodent</c:v>
                </c:pt>
                <c:pt idx="4">
                  <c:v>Print Paper</c:v>
                </c:pt>
              </c:strCache>
            </c:strRef>
          </c:cat>
          <c:val>
            <c:numRef>
              <c:f>column!$B$4:$B$9</c:f>
              <c:numCache>
                <c:formatCode>General</c:formatCode>
                <c:ptCount val="5"/>
                <c:pt idx="0">
                  <c:v>30417.75</c:v>
                </c:pt>
                <c:pt idx="1">
                  <c:v>14699.25</c:v>
                </c:pt>
                <c:pt idx="2">
                  <c:v>22208</c:v>
                </c:pt>
                <c:pt idx="3">
                  <c:v>42126</c:v>
                </c:pt>
                <c:pt idx="4">
                  <c:v>11394</c:v>
                </c:pt>
              </c:numCache>
            </c:numRef>
          </c:val>
          <c:shape val="cylinder"/>
        </c:ser>
        <c:dLbls>
          <c:showLegendKey val="0"/>
          <c:showVal val="1"/>
          <c:showCatName val="0"/>
          <c:showSerName val="0"/>
          <c:showPercent val="0"/>
          <c:showBubbleSize val="0"/>
        </c:dLbls>
        <c:gapWidth val="150"/>
        <c:shape val="box"/>
        <c:axId val="424281816"/>
        <c:axId val="424285344"/>
        <c:axId val="0"/>
      </c:bar3DChart>
      <c:catAx>
        <c:axId val="424281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24285344"/>
        <c:crosses val="autoZero"/>
        <c:auto val="1"/>
        <c:lblAlgn val="ctr"/>
        <c:lblOffset val="100"/>
        <c:noMultiLvlLbl val="0"/>
      </c:catAx>
      <c:valAx>
        <c:axId val="424285344"/>
        <c:scaling>
          <c:orientation val="minMax"/>
        </c:scaling>
        <c:delete val="1"/>
        <c:axPos val="l"/>
        <c:numFmt formatCode="General" sourceLinked="1"/>
        <c:majorTickMark val="none"/>
        <c:minorTickMark val="none"/>
        <c:tickLblPos val="nextTo"/>
        <c:crossAx val="424281816"/>
        <c:crosses val="autoZero"/>
        <c:crossBetween val="between"/>
      </c:valAx>
      <c:spPr>
        <a:noFill/>
        <a:ln>
          <a:noFill/>
        </a:ln>
        <a:effectLst/>
      </c:spPr>
    </c:plotArea>
    <c:plotVisOnly val="1"/>
    <c:dispBlanksAs val="gap"/>
    <c:showDLblsOverMax val="0"/>
  </c:chart>
  <c:spPr>
    <a:solidFill>
      <a:schemeClr val="tx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report.xlsx]line chart!PivotTable5</c:name>
    <c:fmtId val="12"/>
  </c:pivotSource>
  <c:chart>
    <c:title>
      <c:tx>
        <c:rich>
          <a:bodyPr rot="0" spcFirstLastPara="1" vertOverflow="ellipsis" vert="horz" wrap="square" anchor="ctr" anchorCtr="1"/>
          <a:lstStyle/>
          <a:p>
            <a:pPr>
              <a:defRPr sz="1400" b="1" i="0" u="none" strike="noStrike" kern="1200" spc="0" baseline="0">
                <a:solidFill>
                  <a:schemeClr val="lt1"/>
                </a:solidFill>
                <a:latin typeface="+mn-lt"/>
                <a:ea typeface="+mn-ea"/>
                <a:cs typeface="+mn-cs"/>
              </a:defRPr>
            </a:pPr>
            <a:r>
              <a:rPr lang="en-US" b="1"/>
              <a:t>Month Wise</a:t>
            </a:r>
            <a:r>
              <a:rPr lang="en-US" b="1" baseline="0"/>
              <a:t> Profit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numFmt formatCode="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5DF1A"/>
            </a:solidFill>
            <a:prstDash val="dash"/>
            <a:round/>
          </a:ln>
          <a:effectLst/>
        </c:spPr>
        <c:marker>
          <c:symbol val="circle"/>
          <c:size val="7"/>
          <c:spPr>
            <a:solidFill>
              <a:schemeClr val="bg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7"/>
          <c:spPr>
            <a:solidFill>
              <a:schemeClr val="bg1"/>
            </a:solidFill>
            <a:ln w="9525">
              <a:solidFill>
                <a:schemeClr val="accent1"/>
              </a:solidFill>
            </a:ln>
            <a:effectLst/>
          </c:spPr>
        </c:marker>
        <c:dLbl>
          <c:idx val="0"/>
          <c:numFmt formatCode="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15DF1A"/>
            </a:solidFill>
            <a:prstDash val="dash"/>
            <a:round/>
          </a:ln>
          <a:effectLst/>
        </c:spPr>
        <c:marker>
          <c:symbol val="circle"/>
          <c:size val="7"/>
          <c:spPr>
            <a:solidFill>
              <a:schemeClr val="bg1"/>
            </a:solidFill>
            <a:ln w="9525">
              <a:solidFill>
                <a:schemeClr val="accent1"/>
              </a:solidFill>
            </a:ln>
            <a:effectLst/>
          </c:spPr>
        </c:marker>
      </c:pivotFmt>
      <c:pivotFmt>
        <c:idx val="6"/>
        <c:spPr>
          <a:ln w="28575" cap="rnd">
            <a:solidFill>
              <a:schemeClr val="accent1"/>
            </a:solidFill>
            <a:round/>
          </a:ln>
          <a:effectLst/>
        </c:spPr>
        <c:marker>
          <c:symbol val="circle"/>
          <c:size val="7"/>
          <c:spPr>
            <a:solidFill>
              <a:schemeClr val="bg1"/>
            </a:solidFill>
            <a:ln w="9525">
              <a:solidFill>
                <a:schemeClr val="accent1"/>
              </a:solidFill>
            </a:ln>
            <a:effectLst/>
          </c:spPr>
        </c:marker>
        <c:dLbl>
          <c:idx val="0"/>
          <c:layout/>
          <c:numFmt formatCode="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rgbClr val="15DF1A"/>
            </a:solidFill>
            <a:prstDash val="dash"/>
            <a:round/>
          </a:ln>
          <a:effectLst/>
        </c:spPr>
        <c:marker>
          <c:symbol val="circle"/>
          <c:size val="7"/>
          <c:spPr>
            <a:solidFill>
              <a:schemeClr val="bg1"/>
            </a:solidFill>
            <a:ln w="9525">
              <a:solidFill>
                <a:schemeClr val="accent1"/>
              </a:solidFill>
            </a:ln>
            <a:effectLst/>
          </c:spPr>
        </c:marker>
      </c:pivotFmt>
    </c:pivotFmts>
    <c:plotArea>
      <c:layout>
        <c:manualLayout>
          <c:layoutTarget val="inner"/>
          <c:xMode val="edge"/>
          <c:yMode val="edge"/>
          <c:x val="2.7777777777777776E-2"/>
          <c:y val="0.16343184463390639"/>
          <c:w val="0.93888888888888888"/>
          <c:h val="0.68611787839137128"/>
        </c:manualLayout>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7"/>
            <c:spPr>
              <a:solidFill>
                <a:schemeClr val="bg1"/>
              </a:solidFill>
              <a:ln w="9525">
                <a:solidFill>
                  <a:schemeClr val="accent1"/>
                </a:solidFill>
              </a:ln>
              <a:effectLst/>
            </c:spPr>
          </c:marker>
          <c:dPt>
            <c:idx val="5"/>
            <c:marker>
              <c:symbol val="circle"/>
              <c:size val="7"/>
              <c:spPr>
                <a:solidFill>
                  <a:schemeClr val="bg1"/>
                </a:solidFill>
                <a:ln w="9525">
                  <a:solidFill>
                    <a:schemeClr val="accent1"/>
                  </a:solidFill>
                </a:ln>
                <a:effectLst/>
              </c:spPr>
            </c:marker>
            <c:bubble3D val="0"/>
            <c:spPr>
              <a:ln w="28575" cap="rnd">
                <a:solidFill>
                  <a:srgbClr val="15DF1A"/>
                </a:solidFill>
                <a:prstDash val="dash"/>
                <a:round/>
              </a:ln>
              <a:effectLst/>
            </c:spPr>
          </c:dPt>
          <c:dLbls>
            <c:numFmt formatCode="0.0,&quot;k&quot;" sourceLinked="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'line chart'!$A$4:$A$10</c:f>
              <c:strCache>
                <c:ptCount val="6"/>
                <c:pt idx="0">
                  <c:v>Jan</c:v>
                </c:pt>
                <c:pt idx="1">
                  <c:v>Feb</c:v>
                </c:pt>
                <c:pt idx="2">
                  <c:v>Mar</c:v>
                </c:pt>
                <c:pt idx="3">
                  <c:v>Apr</c:v>
                </c:pt>
                <c:pt idx="4">
                  <c:v>Jun</c:v>
                </c:pt>
                <c:pt idx="5">
                  <c:v>Jul</c:v>
                </c:pt>
              </c:strCache>
            </c:strRef>
          </c:cat>
          <c:val>
            <c:numRef>
              <c:f>'line chart'!$B$4:$B$10</c:f>
              <c:numCache>
                <c:formatCode>General</c:formatCode>
                <c:ptCount val="6"/>
                <c:pt idx="0">
                  <c:v>22800</c:v>
                </c:pt>
                <c:pt idx="1">
                  <c:v>42387.5</c:v>
                </c:pt>
                <c:pt idx="2">
                  <c:v>13937.5</c:v>
                </c:pt>
                <c:pt idx="3">
                  <c:v>13857</c:v>
                </c:pt>
                <c:pt idx="4">
                  <c:v>13560.25</c:v>
                </c:pt>
                <c:pt idx="5">
                  <c:v>14302.75</c:v>
                </c:pt>
              </c:numCache>
            </c:numRef>
          </c:val>
          <c:smooth val="0"/>
        </c:ser>
        <c:dLbls>
          <c:dLblPos val="t"/>
          <c:showLegendKey val="0"/>
          <c:showVal val="1"/>
          <c:showCatName val="0"/>
          <c:showSerName val="0"/>
          <c:showPercent val="0"/>
          <c:showBubbleSize val="0"/>
        </c:dLbls>
        <c:marker val="1"/>
        <c:smooth val="0"/>
        <c:axId val="424285736"/>
        <c:axId val="424287304"/>
      </c:lineChart>
      <c:catAx>
        <c:axId val="4242857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424287304"/>
        <c:crosses val="autoZero"/>
        <c:auto val="1"/>
        <c:lblAlgn val="ctr"/>
        <c:lblOffset val="100"/>
        <c:noMultiLvlLbl val="0"/>
      </c:catAx>
      <c:valAx>
        <c:axId val="424287304"/>
        <c:scaling>
          <c:orientation val="minMax"/>
        </c:scaling>
        <c:delete val="1"/>
        <c:axPos val="l"/>
        <c:numFmt formatCode="General" sourceLinked="1"/>
        <c:majorTickMark val="out"/>
        <c:minorTickMark val="none"/>
        <c:tickLblPos val="nextTo"/>
        <c:crossAx val="424285736"/>
        <c:crosses val="autoZero"/>
        <c:crossBetween val="between"/>
      </c:valAx>
      <c:spPr>
        <a:solidFill>
          <a:schemeClr val="dk1"/>
        </a:solidFill>
        <a:ln w="19050" cap="flat" cmpd="sng" algn="ctr">
          <a:noFill/>
          <a:prstDash val="solid"/>
          <a:miter lim="800000"/>
        </a:ln>
        <a:effectLst/>
      </c:spPr>
    </c:plotArea>
    <c:plotVisOnly val="1"/>
    <c:dispBlanksAs val="gap"/>
    <c:showDLblsOverMax val="0"/>
  </c:chart>
  <c:spPr>
    <a:solidFill>
      <a:schemeClr val="dk1"/>
    </a:solidFill>
    <a:ln w="9525" cap="flat" cmpd="sng" algn="ctr">
      <a:solidFill>
        <a:schemeClr val="tx1">
          <a:lumMod val="15000"/>
          <a:lumOff val="85000"/>
        </a:schemeClr>
      </a:solid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report.xlsx]Donut chart!PivotTable1</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Region Wise Unit Sold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0.11666666666666667"/>
              <c:y val="-0.12962962962962962"/>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5"/>
              <c:y val="-0.125"/>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0000"/>
          </a:solidFill>
          <a:ln w="19050">
            <a:solidFill>
              <a:schemeClr val="lt1"/>
            </a:solidFill>
          </a:ln>
          <a:effectLst/>
        </c:spPr>
        <c:dLbl>
          <c:idx val="0"/>
          <c:layout>
            <c:manualLayout>
              <c:x val="0.10833333333333323"/>
              <c:y val="0.24537037037037038"/>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CC00"/>
          </a:solidFill>
          <a:ln w="19050">
            <a:solidFill>
              <a:schemeClr val="lt1"/>
            </a:solidFill>
          </a:ln>
          <a:effectLst/>
        </c:spPr>
        <c:dLbl>
          <c:idx val="0"/>
          <c:layout>
            <c:manualLayout>
              <c:x val="-0.1944444444444445"/>
              <c:y val="0"/>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25"/>
              <c:y val="-0.125"/>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w="19050">
            <a:solidFill>
              <a:schemeClr val="lt1"/>
            </a:solidFill>
          </a:ln>
          <a:effectLst/>
        </c:spPr>
        <c:dLbl>
          <c:idx val="0"/>
          <c:layout>
            <c:manualLayout>
              <c:x val="0.10833333333333323"/>
              <c:y val="0.24537037037037038"/>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CC00"/>
          </a:solidFill>
          <a:ln w="19050">
            <a:solidFill>
              <a:schemeClr val="lt1"/>
            </a:solidFill>
          </a:ln>
          <a:effectLst/>
        </c:spPr>
        <c:dLbl>
          <c:idx val="0"/>
          <c:layout>
            <c:manualLayout>
              <c:x val="-0.1944444444444445"/>
              <c:y val="0"/>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666666666666667"/>
              <c:y val="-0.12962962962962962"/>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5"/>
              <c:y val="-0.125"/>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2"/>
        <c:spPr>
          <a:solidFill>
            <a:srgbClr val="FF0000"/>
          </a:solidFill>
          <a:ln w="19050">
            <a:solidFill>
              <a:schemeClr val="lt1"/>
            </a:solidFill>
          </a:ln>
          <a:effectLst/>
        </c:spPr>
        <c:dLbl>
          <c:idx val="0"/>
          <c:layout>
            <c:manualLayout>
              <c:x val="0.10833333333333323"/>
              <c:y val="0.24537037037037038"/>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3"/>
        <c:spPr>
          <a:solidFill>
            <a:srgbClr val="00CC00"/>
          </a:solidFill>
          <a:ln w="19050">
            <a:solidFill>
              <a:schemeClr val="lt1"/>
            </a:solidFill>
          </a:ln>
          <a:effectLst/>
        </c:spPr>
        <c:dLbl>
          <c:idx val="0"/>
          <c:layout>
            <c:manualLayout>
              <c:x val="-0.1944444444444445"/>
              <c:y val="0"/>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chemeClr val="accent1"/>
          </a:solidFill>
          <a:ln w="19050">
            <a:solidFill>
              <a:schemeClr val="lt1"/>
            </a:solidFill>
          </a:ln>
          <a:effectLst/>
        </c:spPr>
        <c:dLbl>
          <c:idx val="0"/>
          <c:layout>
            <c:manualLayout>
              <c:x val="-0.11666666666666667"/>
              <c:y val="-0.12962962962962962"/>
            </c:manualLayout>
          </c:layout>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lt1"/>
                </a:solidFill>
              </a:ln>
              <a:effectLst/>
            </c:spPr>
          </c:dPt>
          <c:dPt>
            <c:idx val="1"/>
            <c:bubble3D val="0"/>
            <c:explosion val="68"/>
            <c:spPr>
              <a:solidFill>
                <a:srgbClr val="FF0000"/>
              </a:solidFill>
              <a:ln w="19050">
                <a:solidFill>
                  <a:schemeClr val="lt1"/>
                </a:solidFill>
              </a:ln>
              <a:effectLst/>
            </c:spPr>
          </c:dPt>
          <c:dPt>
            <c:idx val="2"/>
            <c:bubble3D val="0"/>
            <c:spPr>
              <a:solidFill>
                <a:srgbClr val="00CC00"/>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25"/>
                  <c:y val="-0.125"/>
                </c:manualLayout>
              </c:layou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10833333333333323"/>
                  <c:y val="0.24537037037037038"/>
                </c:manualLayout>
              </c:layou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0.1944444444444445"/>
                  <c:y val="0"/>
                </c:manualLayout>
              </c:layou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0.11666666666666667"/>
                  <c:y val="-0.12962962962962962"/>
                </c:manualLayout>
              </c:layout>
              <c:showLegendKey val="0"/>
              <c:showVal val="0"/>
              <c:showCatName val="1"/>
              <c:showSerName val="0"/>
              <c:showPercent val="1"/>
              <c:showBubbleSize val="0"/>
              <c:extLst>
                <c:ext xmlns:c15="http://schemas.microsoft.com/office/drawing/2012/chart" uri="{CE6537A1-D6FC-4f65-9D91-7224C49458BB}">
                  <c15:layout/>
                </c:ext>
              </c:extLst>
            </c:dLbl>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chart'!$A$4:$A$8</c:f>
              <c:strCache>
                <c:ptCount val="4"/>
                <c:pt idx="0">
                  <c:v>East</c:v>
                </c:pt>
                <c:pt idx="1">
                  <c:v>North</c:v>
                </c:pt>
                <c:pt idx="2">
                  <c:v>South</c:v>
                </c:pt>
                <c:pt idx="3">
                  <c:v>West</c:v>
                </c:pt>
              </c:strCache>
            </c:strRef>
          </c:cat>
          <c:val>
            <c:numRef>
              <c:f>'Donut chart'!$B$4:$B$8</c:f>
              <c:numCache>
                <c:formatCode>0.00%</c:formatCode>
                <c:ptCount val="4"/>
                <c:pt idx="0">
                  <c:v>0.21522548835713712</c:v>
                </c:pt>
                <c:pt idx="1">
                  <c:v>0.17465634127388194</c:v>
                </c:pt>
                <c:pt idx="2">
                  <c:v>0.39229346981430369</c:v>
                </c:pt>
                <c:pt idx="3">
                  <c:v>0.21782470055467723</c:v>
                </c:pt>
              </c:numCache>
            </c:numRef>
          </c:val>
        </c:ser>
        <c:dLbls>
          <c:showLegendKey val="0"/>
          <c:showVal val="0"/>
          <c:showCatName val="0"/>
          <c:showSerName val="0"/>
          <c:showPercent val="0"/>
          <c:showBubbleSize val="0"/>
          <c:showLeaderLines val="1"/>
        </c:dLbls>
        <c:firstSliceAng val="341"/>
        <c:holeSize val="56"/>
      </c:doughnutChart>
      <c:spPr>
        <a:noFill/>
        <a:ln>
          <a:noFill/>
        </a:ln>
        <a:effectLst/>
      </c:spPr>
    </c:plotArea>
    <c:plotVisOnly val="1"/>
    <c:dispBlanksAs val="gap"/>
    <c:showDLblsOverMax val="0"/>
  </c:chart>
  <c:spPr>
    <a:solidFill>
      <a:schemeClr val="dk1"/>
    </a:solidFill>
    <a:ln w="12700" cap="flat" cmpd="sng" algn="ctr">
      <a:solidFill>
        <a:schemeClr val="bg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report.xlsx]Combo!PivotTable2</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Region</a:t>
            </a:r>
            <a:r>
              <a:rPr lang="en-US" b="1" baseline="0"/>
              <a:t> Wise Profit And Unit Sold</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rgbClr val="00CC00"/>
          </a:solidFill>
          <a:ln>
            <a:noFill/>
          </a:ln>
          <a:effectLst/>
        </c:spPr>
        <c:marker>
          <c:symbol val="none"/>
        </c:marker>
        <c:dLbl>
          <c:idx val="0"/>
          <c:numFmt formatCode="0.0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circle"/>
          <c:size val="7"/>
          <c:spPr>
            <a:solidFill>
              <a:srgbClr val="FFFF00"/>
            </a:solidFill>
            <a:ln w="9525">
              <a:solidFill>
                <a:schemeClr val="accent2"/>
              </a:solidFill>
            </a:ln>
            <a:effectLst/>
          </c:spPr>
        </c:marker>
        <c:dLbl>
          <c:idx val="0"/>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chemeClr val="accent2"/>
            </a:solidFill>
            <a:round/>
          </a:ln>
          <a:effectLst/>
        </c:spPr>
        <c:marker>
          <c:symbol val="circle"/>
          <c:size val="7"/>
          <c:spPr>
            <a:solidFill>
              <a:srgbClr val="FFFF00"/>
            </a:solidFill>
            <a:ln w="9525">
              <a:solidFill>
                <a:schemeClr val="accent2"/>
              </a:solidFill>
            </a:ln>
            <a:effectLst/>
          </c:spPr>
        </c:marker>
      </c:pivotFmt>
      <c:pivotFmt>
        <c:idx val="3"/>
        <c:spPr>
          <a:solidFill>
            <a:schemeClr val="accent1"/>
          </a:solidFill>
          <a:ln w="28575" cap="rnd">
            <a:solidFill>
              <a:schemeClr val="accent2"/>
            </a:solidFill>
            <a:round/>
          </a:ln>
          <a:effectLst/>
        </c:spPr>
        <c:marker>
          <c:symbol val="circle"/>
          <c:size val="7"/>
          <c:spPr>
            <a:solidFill>
              <a:srgbClr val="FFFF00"/>
            </a:solidFill>
            <a:ln w="9525">
              <a:solidFill>
                <a:schemeClr val="accent2"/>
              </a:solidFill>
            </a:ln>
            <a:effectLst/>
          </c:spPr>
        </c:marker>
        <c:dLbl>
          <c:idx val="0"/>
          <c:layout>
            <c:manualLayout>
              <c:x val="-4.4444444444444446E-2"/>
              <c:y val="0.1111111111111112"/>
            </c:manualLayout>
          </c:layout>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CC00"/>
          </a:solidFill>
          <a:ln>
            <a:noFill/>
          </a:ln>
          <a:effectLst/>
        </c:spPr>
        <c:marker>
          <c:symbol val="none"/>
        </c:marker>
        <c:dLbl>
          <c:idx val="0"/>
          <c:numFmt formatCode="0.0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circle"/>
          <c:size val="7"/>
          <c:spPr>
            <a:solidFill>
              <a:srgbClr val="FFFF00"/>
            </a:solidFill>
            <a:ln w="9525">
              <a:solidFill>
                <a:schemeClr val="accent2"/>
              </a:solidFill>
            </a:ln>
            <a:effectLst/>
          </c:spPr>
        </c:marker>
        <c:dLbl>
          <c:idx val="0"/>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chemeClr val="accent2"/>
            </a:solidFill>
            <a:round/>
          </a:ln>
          <a:effectLst/>
        </c:spPr>
        <c:marker>
          <c:symbol val="circle"/>
          <c:size val="7"/>
          <c:spPr>
            <a:solidFill>
              <a:srgbClr val="FFFF00"/>
            </a:solidFill>
            <a:ln w="9525">
              <a:solidFill>
                <a:schemeClr val="accent2"/>
              </a:solidFill>
            </a:ln>
            <a:effectLst/>
          </c:spPr>
        </c:marker>
        <c:dLbl>
          <c:idx val="0"/>
          <c:layout>
            <c:manualLayout>
              <c:x val="-4.4444444444444446E-2"/>
              <c:y val="0.1111111111111112"/>
            </c:manualLayout>
          </c:layout>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CC00"/>
          </a:solidFill>
          <a:ln>
            <a:noFill/>
          </a:ln>
          <a:effectLst/>
        </c:spPr>
        <c:marker>
          <c:symbol val="none"/>
        </c:marker>
        <c:dLbl>
          <c:idx val="0"/>
          <c:layout/>
          <c:numFmt formatCode="0.0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ln w="28575" cap="rnd">
            <a:solidFill>
              <a:schemeClr val="accent1"/>
            </a:solidFill>
            <a:round/>
          </a:ln>
          <a:effectLst/>
        </c:spPr>
        <c:marker>
          <c:symbol val="circle"/>
          <c:size val="7"/>
          <c:spPr>
            <a:solidFill>
              <a:srgbClr val="FFFF00"/>
            </a:solidFill>
            <a:ln w="9525">
              <a:solidFill>
                <a:schemeClr val="accent2"/>
              </a:solidFill>
            </a:ln>
            <a:effectLst/>
          </c:spPr>
        </c:marker>
        <c:dLbl>
          <c:idx val="0"/>
          <c:layout/>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ln w="28575" cap="rnd">
            <a:solidFill>
              <a:schemeClr val="accent1"/>
            </a:solidFill>
            <a:round/>
          </a:ln>
          <a:effectLst/>
        </c:spPr>
        <c:marker>
          <c:symbol val="circle"/>
          <c:size val="7"/>
          <c:spPr>
            <a:solidFill>
              <a:srgbClr val="FFFF00"/>
            </a:solidFill>
            <a:ln w="9525">
              <a:solidFill>
                <a:schemeClr val="accent2"/>
              </a:solidFill>
            </a:ln>
            <a:effectLst/>
          </c:spPr>
        </c:marker>
        <c:dLbl>
          <c:idx val="0"/>
          <c:layout>
            <c:manualLayout>
              <c:x val="-4.4444444444444446E-2"/>
              <c:y val="0.1111111111111112"/>
            </c:manualLayout>
          </c:layout>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barChart>
        <c:barDir val="col"/>
        <c:grouping val="clustered"/>
        <c:varyColors val="0"/>
        <c:ser>
          <c:idx val="0"/>
          <c:order val="0"/>
          <c:tx>
            <c:strRef>
              <c:f>Combo!$B$3</c:f>
              <c:strCache>
                <c:ptCount val="1"/>
                <c:pt idx="0">
                  <c:v>Total Profit</c:v>
                </c:pt>
              </c:strCache>
            </c:strRef>
          </c:tx>
          <c:spPr>
            <a:solidFill>
              <a:srgbClr val="00CC00"/>
            </a:solidFill>
            <a:ln>
              <a:noFill/>
            </a:ln>
            <a:effectLst/>
          </c:spPr>
          <c:invertIfNegative val="0"/>
          <c:dLbls>
            <c:numFmt formatCode="0.0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Combo!$A$4:$A$8</c:f>
              <c:strCache>
                <c:ptCount val="4"/>
                <c:pt idx="0">
                  <c:v>East</c:v>
                </c:pt>
                <c:pt idx="1">
                  <c:v>North</c:v>
                </c:pt>
                <c:pt idx="2">
                  <c:v>South</c:v>
                </c:pt>
                <c:pt idx="3">
                  <c:v>West</c:v>
                </c:pt>
              </c:strCache>
            </c:strRef>
          </c:cat>
          <c:val>
            <c:numRef>
              <c:f>Combo!$B$4:$B$8</c:f>
              <c:numCache>
                <c:formatCode>General</c:formatCode>
                <c:ptCount val="4"/>
                <c:pt idx="0">
                  <c:v>28523.25</c:v>
                </c:pt>
                <c:pt idx="1">
                  <c:v>21916.5</c:v>
                </c:pt>
                <c:pt idx="2">
                  <c:v>36871.75</c:v>
                </c:pt>
                <c:pt idx="3">
                  <c:v>33533.5</c:v>
                </c:pt>
              </c:numCache>
            </c:numRef>
          </c:val>
        </c:ser>
        <c:dLbls>
          <c:showLegendKey val="0"/>
          <c:showVal val="0"/>
          <c:showCatName val="0"/>
          <c:showSerName val="0"/>
          <c:showPercent val="0"/>
          <c:showBubbleSize val="0"/>
        </c:dLbls>
        <c:gapWidth val="130"/>
        <c:axId val="424292400"/>
        <c:axId val="424291224"/>
      </c:barChart>
      <c:lineChart>
        <c:grouping val="standard"/>
        <c:varyColors val="0"/>
        <c:ser>
          <c:idx val="1"/>
          <c:order val="1"/>
          <c:tx>
            <c:strRef>
              <c:f>Combo!$C$3</c:f>
              <c:strCache>
                <c:ptCount val="1"/>
                <c:pt idx="0">
                  <c:v> Cost Price</c:v>
                </c:pt>
              </c:strCache>
            </c:strRef>
          </c:tx>
          <c:spPr>
            <a:ln w="28575" cap="rnd">
              <a:solidFill>
                <a:schemeClr val="accent2"/>
              </a:solidFill>
              <a:round/>
            </a:ln>
            <a:effectLst/>
          </c:spPr>
          <c:marker>
            <c:symbol val="circle"/>
            <c:size val="7"/>
            <c:spPr>
              <a:solidFill>
                <a:srgbClr val="FFFF00"/>
              </a:solidFill>
              <a:ln w="9525">
                <a:solidFill>
                  <a:schemeClr val="accent2"/>
                </a:solidFill>
              </a:ln>
              <a:effectLst/>
            </c:spPr>
          </c:marker>
          <c:dPt>
            <c:idx val="2"/>
            <c:marker>
              <c:symbol val="circle"/>
              <c:size val="7"/>
              <c:spPr>
                <a:solidFill>
                  <a:srgbClr val="FFFF00"/>
                </a:solidFill>
                <a:ln w="9525">
                  <a:solidFill>
                    <a:schemeClr val="accent2"/>
                  </a:solidFill>
                </a:ln>
                <a:effectLst/>
              </c:spPr>
            </c:marker>
            <c:bubble3D val="0"/>
          </c:dPt>
          <c:dLbls>
            <c:dLbl>
              <c:idx val="2"/>
              <c:layout>
                <c:manualLayout>
                  <c:x val="-4.4444444444444446E-2"/>
                  <c:y val="0.1111111111111112"/>
                </c:manualLayout>
              </c:layout>
              <c:showLegendKey val="0"/>
              <c:showVal val="1"/>
              <c:showCatName val="0"/>
              <c:showSerName val="0"/>
              <c:showPercent val="0"/>
              <c:showBubbleSize val="0"/>
              <c:separator>
</c:separator>
              <c:extLst>
                <c:ext xmlns:c15="http://schemas.microsoft.com/office/drawing/2012/chart" uri="{CE6537A1-D6FC-4f65-9D91-7224C49458BB}">
                  <c15:layout/>
                </c:ext>
              </c:extLst>
            </c:dLbl>
            <c:numFmt formatCode="0.0,,&quot;M&quot;" sourceLinked="0"/>
            <c:spPr>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Combo!$A$4:$A$8</c:f>
              <c:strCache>
                <c:ptCount val="4"/>
                <c:pt idx="0">
                  <c:v>East</c:v>
                </c:pt>
                <c:pt idx="1">
                  <c:v>North</c:v>
                </c:pt>
                <c:pt idx="2">
                  <c:v>South</c:v>
                </c:pt>
                <c:pt idx="3">
                  <c:v>West</c:v>
                </c:pt>
              </c:strCache>
            </c:strRef>
          </c:cat>
          <c:val>
            <c:numRef>
              <c:f>Combo!$C$4:$C$8</c:f>
              <c:numCache>
                <c:formatCode>General</c:formatCode>
                <c:ptCount val="4"/>
                <c:pt idx="0">
                  <c:v>4232864</c:v>
                </c:pt>
                <c:pt idx="1">
                  <c:v>1981472</c:v>
                </c:pt>
                <c:pt idx="2">
                  <c:v>6426960</c:v>
                </c:pt>
                <c:pt idx="3">
                  <c:v>3186568</c:v>
                </c:pt>
              </c:numCache>
            </c:numRef>
          </c:val>
          <c:smooth val="0"/>
        </c:ser>
        <c:dLbls>
          <c:showLegendKey val="0"/>
          <c:showVal val="0"/>
          <c:showCatName val="0"/>
          <c:showSerName val="0"/>
          <c:showPercent val="0"/>
          <c:showBubbleSize val="0"/>
        </c:dLbls>
        <c:marker val="1"/>
        <c:smooth val="0"/>
        <c:axId val="424279856"/>
        <c:axId val="424290440"/>
      </c:lineChart>
      <c:catAx>
        <c:axId val="42427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4290440"/>
        <c:crosses val="autoZero"/>
        <c:auto val="1"/>
        <c:lblAlgn val="ctr"/>
        <c:lblOffset val="100"/>
        <c:noMultiLvlLbl val="0"/>
      </c:catAx>
      <c:valAx>
        <c:axId val="424290440"/>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4279856"/>
        <c:crosses val="autoZero"/>
        <c:crossBetween val="between"/>
      </c:valAx>
      <c:valAx>
        <c:axId val="424291224"/>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4292400"/>
        <c:crosses val="max"/>
        <c:crossBetween val="between"/>
      </c:valAx>
      <c:catAx>
        <c:axId val="424292400"/>
        <c:scaling>
          <c:orientation val="minMax"/>
        </c:scaling>
        <c:delete val="1"/>
        <c:axPos val="b"/>
        <c:numFmt formatCode="General" sourceLinked="1"/>
        <c:majorTickMark val="out"/>
        <c:minorTickMark val="none"/>
        <c:tickLblPos val="nextTo"/>
        <c:crossAx val="424291224"/>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dk1"/>
    </a:solidFill>
    <a:ln w="12700" cap="flat" cmpd="sng" algn="ctr">
      <a:solidFill>
        <a:schemeClr val="bg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571500</xdr:colOff>
      <xdr:row>2</xdr:row>
      <xdr:rowOff>152400</xdr:rowOff>
    </xdr:from>
    <xdr:to>
      <xdr:col>13</xdr:col>
      <xdr:colOff>266700</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233362</xdr:colOff>
      <xdr:row>0</xdr:row>
      <xdr:rowOff>125656</xdr:rowOff>
    </xdr:from>
    <xdr:to>
      <xdr:col>8</xdr:col>
      <xdr:colOff>586154</xdr:colOff>
      <xdr:row>15</xdr:row>
      <xdr:rowOff>11356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295275</xdr:colOff>
      <xdr:row>0</xdr:row>
      <xdr:rowOff>166687</xdr:rowOff>
    </xdr:from>
    <xdr:to>
      <xdr:col>13</xdr:col>
      <xdr:colOff>304800</xdr:colOff>
      <xdr:row>16</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28575</xdr:colOff>
      <xdr:row>0</xdr:row>
      <xdr:rowOff>147637</xdr:rowOff>
    </xdr:from>
    <xdr:to>
      <xdr:col>11</xdr:col>
      <xdr:colOff>333375</xdr:colOff>
      <xdr:row>15</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485775</xdr:colOff>
      <xdr:row>0</xdr:row>
      <xdr:rowOff>147637</xdr:rowOff>
    </xdr:from>
    <xdr:to>
      <xdr:col>13</xdr:col>
      <xdr:colOff>333375</xdr:colOff>
      <xdr:row>15</xdr:row>
      <xdr:rowOff>33337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138546</xdr:colOff>
      <xdr:row>2</xdr:row>
      <xdr:rowOff>173181</xdr:rowOff>
    </xdr:from>
    <xdr:to>
      <xdr:col>22</xdr:col>
      <xdr:colOff>363682</xdr:colOff>
      <xdr:row>60</xdr:row>
      <xdr:rowOff>155863</xdr:rowOff>
    </xdr:to>
    <xdr:grpSp>
      <xdr:nvGrpSpPr>
        <xdr:cNvPr id="13" name="Group 12"/>
        <xdr:cNvGrpSpPr/>
      </xdr:nvGrpSpPr>
      <xdr:grpSpPr>
        <a:xfrm>
          <a:off x="2563091" y="554181"/>
          <a:ext cx="11135591" cy="11031682"/>
          <a:chOff x="1039091" y="311727"/>
          <a:chExt cx="11135591" cy="11031682"/>
        </a:xfrm>
      </xdr:grpSpPr>
      <xdr:sp macro="" textlink="">
        <xdr:nvSpPr>
          <xdr:cNvPr id="12" name="Rectangle 11"/>
          <xdr:cNvSpPr/>
        </xdr:nvSpPr>
        <xdr:spPr>
          <a:xfrm>
            <a:off x="1039091" y="311727"/>
            <a:ext cx="11135591" cy="11031682"/>
          </a:xfrm>
          <a:prstGeom prst="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graphicFrame macro="">
        <xdr:nvGraphicFramePr>
          <xdr:cNvPr id="3" name="Chart 2"/>
          <xdr:cNvGraphicFramePr>
            <a:graphicFrameLocks/>
          </xdr:cNvGraphicFramePr>
        </xdr:nvGraphicFramePr>
        <xdr:xfrm>
          <a:off x="3040207" y="1333500"/>
          <a:ext cx="4252479" cy="26765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xdr:cNvGraphicFramePr>
            <a:graphicFrameLocks/>
          </xdr:cNvGraphicFramePr>
        </xdr:nvGraphicFramePr>
        <xdr:xfrm>
          <a:off x="7645111" y="1323976"/>
          <a:ext cx="4376305" cy="27051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xdr:cNvGraphicFramePr>
            <a:graphicFrameLocks/>
          </xdr:cNvGraphicFramePr>
        </xdr:nvGraphicFramePr>
        <xdr:xfrm>
          <a:off x="3030683" y="4191000"/>
          <a:ext cx="4262004" cy="28384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xdr:cNvGraphicFramePr>
            <a:graphicFrameLocks/>
          </xdr:cNvGraphicFramePr>
        </xdr:nvGraphicFramePr>
        <xdr:xfrm>
          <a:off x="7673686" y="4210050"/>
          <a:ext cx="4366780" cy="28194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xdr:cNvGraphicFramePr>
            <a:graphicFrameLocks/>
          </xdr:cNvGraphicFramePr>
        </xdr:nvGraphicFramePr>
        <xdr:xfrm>
          <a:off x="3030682" y="7239000"/>
          <a:ext cx="8982865" cy="400050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8" name="Area"/>
              <xdr:cNvGraphicFramePr/>
            </xdr:nvGraphicFramePr>
            <xdr:xfrm>
              <a:off x="1130011" y="1343026"/>
              <a:ext cx="1818409" cy="514350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2654011" y="1585480"/>
                <a:ext cx="1818409" cy="514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Agent"/>
              <xdr:cNvGraphicFramePr/>
            </xdr:nvGraphicFramePr>
            <xdr:xfrm>
              <a:off x="1110961" y="6667500"/>
              <a:ext cx="1818409" cy="455295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2634961" y="6909954"/>
                <a:ext cx="1818409" cy="4552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1" name="TextBox 10"/>
          <xdr:cNvSpPr txBox="1"/>
        </xdr:nvSpPr>
        <xdr:spPr>
          <a:xfrm>
            <a:off x="1130011" y="398318"/>
            <a:ext cx="10834255" cy="762001"/>
          </a:xfrm>
          <a:prstGeom prst="rect">
            <a:avLst/>
          </a:prstGeom>
          <a:ln/>
        </xdr:spPr>
        <xdr:style>
          <a:lnRef idx="3">
            <a:schemeClr val="lt1"/>
          </a:lnRef>
          <a:fillRef idx="1">
            <a:schemeClr val="dk1"/>
          </a:fillRef>
          <a:effectRef idx="1">
            <a:schemeClr val="dk1"/>
          </a:effectRef>
          <a:fontRef idx="minor">
            <a:schemeClr val="lt1"/>
          </a:fontRef>
        </xdr:style>
        <xdr:txBody>
          <a:bodyPr vertOverflow="clip" horzOverflow="clip" wrap="square" rtlCol="0" anchor="ctr"/>
          <a:lstStyle/>
          <a:p>
            <a:pPr algn="ctr"/>
            <a:r>
              <a:rPr lang="en-US" sz="3200" b="1"/>
              <a:t>Product Analysis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shek tiwari" refreshedDate="46127.665719907411" createdVersion="5" refreshedVersion="5" minRefreshableVersion="3" recordCount="30">
  <cacheSource type="worksheet">
    <worksheetSource ref="A1:M31" sheet="Pivot_Table_3"/>
  </cacheSource>
  <cacheFields count="14">
    <cacheField name="Product Code" numFmtId="0">
      <sharedItems/>
    </cacheField>
    <cacheField name="Product Name" numFmtId="0">
      <sharedItems count="5">
        <s v="Dettol"/>
        <s v="Lux"/>
        <s v="Cello Pen"/>
        <s v="Print Paper"/>
        <s v="Pepsodent"/>
      </sharedItems>
    </cacheField>
    <cacheField name="Price/Unit" numFmtId="0">
      <sharedItems containsSemiMixedTypes="0" containsString="0" containsNumber="1" containsInteger="1" minValue="12" maxValue="150"/>
    </cacheField>
    <cacheField name="Basic Price" numFmtId="0">
      <sharedItems containsSemiMixedTypes="0" containsString="0" containsNumber="1" containsInteger="1" minValue="15" maxValue="160"/>
    </cacheField>
    <cacheField name="Month" numFmtId="0">
      <sharedItems count="6">
        <s v="Jan"/>
        <s v="Feb"/>
        <s v="Mar"/>
        <s v="Apr"/>
        <s v="Jun"/>
        <s v="Jul"/>
      </sharedItems>
    </cacheField>
    <cacheField name="Region" numFmtId="0">
      <sharedItems count="4">
        <s v="East"/>
        <s v="West"/>
        <s v="North"/>
        <s v="South"/>
      </sharedItems>
    </cacheField>
    <cacheField name="Area" numFmtId="0">
      <sharedItems count="18">
        <s v="Assam"/>
        <s v="Gujarat"/>
        <s v="J&amp;K"/>
        <s v="Karnataka"/>
        <s v="Meghalaya"/>
        <s v="Rajesthan"/>
        <s v="HP"/>
        <s v="Kerala"/>
        <s v="Manipur"/>
        <s v="Punjab"/>
        <s v="TN"/>
        <s v="Nagaland"/>
        <s v="Uttaranchal"/>
        <s v="AP"/>
        <s v="Tripura"/>
        <s v="Maharastra"/>
        <s v="Delhi"/>
        <s v="Arunachal Pradesh"/>
      </sharedItems>
    </cacheField>
    <cacheField name="Territory" numFmtId="0">
      <sharedItems/>
    </cacheField>
    <cacheField name="Agent" numFmtId="0">
      <sharedItems count="19">
        <s v="ABC"/>
        <s v="GTC"/>
        <s v="JKTC"/>
        <s v="KATC"/>
        <s v="MTC"/>
        <s v="RTC"/>
        <s v="HPTC"/>
        <s v="KETC"/>
        <s v="MATC"/>
        <s v="PTC"/>
        <s v="TNTC"/>
        <s v="NTC"/>
        <s v="UTC"/>
        <s v="APTC"/>
        <s v="TTC"/>
        <s v="MHTC"/>
        <s v="DTC"/>
        <s v="TRTC"/>
        <s v="ARTC"/>
      </sharedItems>
    </cacheField>
    <cacheField name="Units Sold" numFmtId="0">
      <sharedItems containsSemiMixedTypes="0" containsString="0" containsNumber="1" containsInteger="1" minValue="577" maxValue="9000"/>
    </cacheField>
    <cacheField name="Sales Value" numFmtId="0">
      <sharedItems containsSemiMixedTypes="0" containsString="0" containsNumber="1" containsInteger="1" minValue="9840" maxValue="200000" count="27">
        <n v="110000"/>
        <n v="20000"/>
        <n v="18000"/>
        <n v="200000"/>
        <n v="78000"/>
        <n v="74250"/>
        <n v="28000"/>
        <n v="135000"/>
        <n v="128000"/>
        <n v="102000"/>
        <n v="35750"/>
        <n v="15600"/>
        <n v="12300"/>
        <n v="124800"/>
        <n v="51000"/>
        <n v="53900"/>
        <n v="9840"/>
        <n v="157600"/>
        <n v="39480"/>
        <n v="36135"/>
        <n v="17900"/>
        <n v="12840"/>
        <n v="49280"/>
        <n v="11540"/>
        <n v="14805"/>
        <n v="143520"/>
        <n v="51120"/>
      </sharedItems>
      <fieldGroup base="10">
        <rangePr autoStart="0" startNum="1" endNum="200000" groupInterval="50000"/>
        <groupItems count="6">
          <s v="&lt;1"/>
          <s v="1-50000"/>
          <s v="50001-100000"/>
          <s v="100001-150000"/>
          <s v="150001-200000"/>
          <s v="&gt;200001"/>
        </groupItems>
      </fieldGroup>
    </cacheField>
    <cacheField name="Commission" numFmtId="0">
      <sharedItems containsSemiMixedTypes="0" containsString="0" containsNumber="1" minValue="492" maxValue="10000"/>
    </cacheField>
    <cacheField name="Profit" numFmtId="0">
      <sharedItems containsSemiMixedTypes="0" containsString="0" containsNumber="1" minValue="1462.5" maxValue="20250"/>
    </cacheField>
    <cacheField name="Total Cost Price" numFmtId="0" formula="'Price/Unit'*'Units Sold'"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s v="PC019"/>
    <x v="0"/>
    <n v="50"/>
    <n v="55"/>
    <x v="0"/>
    <x v="0"/>
    <x v="0"/>
    <s v="Dispur"/>
    <x v="0"/>
    <n v="2000"/>
    <x v="0"/>
    <n v="5500"/>
    <n v="4500"/>
  </r>
  <r>
    <s v="PC001"/>
    <x v="1"/>
    <n v="15"/>
    <n v="20"/>
    <x v="0"/>
    <x v="1"/>
    <x v="1"/>
    <s v="Vadodara"/>
    <x v="1"/>
    <n v="1000"/>
    <x v="1"/>
    <n v="1000"/>
    <n v="4000"/>
  </r>
  <r>
    <s v="PC003"/>
    <x v="2"/>
    <n v="12"/>
    <n v="15"/>
    <x v="0"/>
    <x v="2"/>
    <x v="2"/>
    <s v="Jammu"/>
    <x v="2"/>
    <n v="1200"/>
    <x v="2"/>
    <n v="900"/>
    <n v="2700"/>
  </r>
  <r>
    <s v="PC043"/>
    <x v="3"/>
    <n v="150"/>
    <n v="160"/>
    <x v="0"/>
    <x v="3"/>
    <x v="3"/>
    <s v="Bangalore"/>
    <x v="3"/>
    <n v="1250"/>
    <x v="3"/>
    <n v="10000"/>
    <n v="2500"/>
  </r>
  <r>
    <s v="PC021"/>
    <x v="4"/>
    <n v="50"/>
    <n v="60"/>
    <x v="0"/>
    <x v="0"/>
    <x v="4"/>
    <s v="Shillong"/>
    <x v="4"/>
    <n v="1300"/>
    <x v="4"/>
    <n v="3900"/>
    <n v="9100"/>
  </r>
  <r>
    <s v="PC019"/>
    <x v="0"/>
    <n v="50"/>
    <n v="55"/>
    <x v="1"/>
    <x v="1"/>
    <x v="5"/>
    <s v="Bikaner"/>
    <x v="5"/>
    <n v="1350"/>
    <x v="5"/>
    <n v="3712.5"/>
    <n v="3037.5"/>
  </r>
  <r>
    <s v="PC001"/>
    <x v="1"/>
    <n v="15"/>
    <n v="20"/>
    <x v="1"/>
    <x v="2"/>
    <x v="6"/>
    <s v="Simla"/>
    <x v="6"/>
    <n v="1400"/>
    <x v="6"/>
    <n v="1400"/>
    <n v="5600"/>
  </r>
  <r>
    <s v="PC003"/>
    <x v="2"/>
    <n v="12"/>
    <n v="15"/>
    <x v="1"/>
    <x v="3"/>
    <x v="7"/>
    <s v="Kochi"/>
    <x v="7"/>
    <n v="9000"/>
    <x v="7"/>
    <n v="6750"/>
    <n v="20250"/>
  </r>
  <r>
    <s v="PC043"/>
    <x v="3"/>
    <n v="150"/>
    <n v="160"/>
    <x v="1"/>
    <x v="0"/>
    <x v="8"/>
    <s v="Imphal"/>
    <x v="8"/>
    <n v="800"/>
    <x v="8"/>
    <n v="6400"/>
    <n v="1600"/>
  </r>
  <r>
    <s v="PC021"/>
    <x v="4"/>
    <n v="50"/>
    <n v="60"/>
    <x v="1"/>
    <x v="1"/>
    <x v="5"/>
    <s v="Ajmer"/>
    <x v="5"/>
    <n v="1700"/>
    <x v="9"/>
    <n v="5100"/>
    <n v="11900"/>
  </r>
  <r>
    <s v="PC019"/>
    <x v="0"/>
    <n v="50"/>
    <n v="55"/>
    <x v="2"/>
    <x v="2"/>
    <x v="9"/>
    <s v="Amrithsar"/>
    <x v="9"/>
    <n v="650"/>
    <x v="10"/>
    <n v="1787.5"/>
    <n v="1462.5"/>
  </r>
  <r>
    <s v="PC001"/>
    <x v="1"/>
    <n v="15"/>
    <n v="20"/>
    <x v="2"/>
    <x v="3"/>
    <x v="10"/>
    <s v="Chennai"/>
    <x v="10"/>
    <n v="780"/>
    <x v="11"/>
    <n v="780"/>
    <n v="3120"/>
  </r>
  <r>
    <s v="PC003"/>
    <x v="2"/>
    <n v="12"/>
    <n v="15"/>
    <x v="2"/>
    <x v="0"/>
    <x v="11"/>
    <s v="Kohima"/>
    <x v="11"/>
    <n v="820"/>
    <x v="12"/>
    <n v="615"/>
    <n v="1845"/>
  </r>
  <r>
    <s v="PC043"/>
    <x v="3"/>
    <n v="150"/>
    <n v="160"/>
    <x v="2"/>
    <x v="1"/>
    <x v="1"/>
    <s v="Ahmedabad"/>
    <x v="1"/>
    <n v="780"/>
    <x v="13"/>
    <n v="6240"/>
    <n v="1560"/>
  </r>
  <r>
    <s v="PC021"/>
    <x v="4"/>
    <n v="50"/>
    <n v="60"/>
    <x v="2"/>
    <x v="2"/>
    <x v="12"/>
    <s v="Nanital"/>
    <x v="12"/>
    <n v="850"/>
    <x v="14"/>
    <n v="2550"/>
    <n v="5950"/>
  </r>
  <r>
    <s v="PC019"/>
    <x v="0"/>
    <n v="50"/>
    <n v="55"/>
    <x v="3"/>
    <x v="3"/>
    <x v="13"/>
    <s v="Hyderabad"/>
    <x v="13"/>
    <n v="980"/>
    <x v="15"/>
    <n v="2695"/>
    <n v="2205"/>
  </r>
  <r>
    <s v="PC001"/>
    <x v="1"/>
    <n v="15"/>
    <n v="20"/>
    <x v="3"/>
    <x v="0"/>
    <x v="14"/>
    <s v="Agarthala"/>
    <x v="14"/>
    <n v="900"/>
    <x v="2"/>
    <n v="900"/>
    <n v="3600"/>
  </r>
  <r>
    <s v="PC003"/>
    <x v="2"/>
    <n v="12"/>
    <n v="15"/>
    <x v="3"/>
    <x v="1"/>
    <x v="15"/>
    <s v="Mumbai"/>
    <x v="15"/>
    <n v="656"/>
    <x v="16"/>
    <n v="492"/>
    <n v="1476"/>
  </r>
  <r>
    <s v="PC043"/>
    <x v="3"/>
    <n v="150"/>
    <n v="160"/>
    <x v="3"/>
    <x v="2"/>
    <x v="16"/>
    <s v="Delhi"/>
    <x v="16"/>
    <n v="985"/>
    <x v="17"/>
    <n v="7880"/>
    <n v="1970"/>
  </r>
  <r>
    <s v="PC021"/>
    <x v="4"/>
    <n v="50"/>
    <n v="60"/>
    <x v="3"/>
    <x v="3"/>
    <x v="10"/>
    <s v="Trichy"/>
    <x v="10"/>
    <n v="658"/>
    <x v="18"/>
    <n v="1974"/>
    <n v="4606"/>
  </r>
  <r>
    <s v="PC019"/>
    <x v="0"/>
    <n v="50"/>
    <n v="55"/>
    <x v="4"/>
    <x v="0"/>
    <x v="14"/>
    <s v="Agarthala"/>
    <x v="17"/>
    <n v="657"/>
    <x v="19"/>
    <n v="1806.75"/>
    <n v="1478.25"/>
  </r>
  <r>
    <s v="PC001"/>
    <x v="1"/>
    <n v="15"/>
    <n v="20"/>
    <x v="4"/>
    <x v="1"/>
    <x v="15"/>
    <s v="Nasik"/>
    <x v="15"/>
    <n v="895"/>
    <x v="20"/>
    <n v="895"/>
    <n v="3580"/>
  </r>
  <r>
    <s v="PC003"/>
    <x v="2"/>
    <n v="12"/>
    <n v="15"/>
    <x v="4"/>
    <x v="2"/>
    <x v="9"/>
    <s v="Kapurthala"/>
    <x v="9"/>
    <n v="856"/>
    <x v="21"/>
    <n v="642"/>
    <n v="1926"/>
  </r>
  <r>
    <s v="PC043"/>
    <x v="3"/>
    <n v="150"/>
    <n v="160"/>
    <x v="4"/>
    <x v="3"/>
    <x v="13"/>
    <s v="Warangal"/>
    <x v="13"/>
    <n v="985"/>
    <x v="17"/>
    <n v="7880"/>
    <n v="1970"/>
  </r>
  <r>
    <s v="PC021"/>
    <x v="4"/>
    <n v="50"/>
    <n v="60"/>
    <x v="4"/>
    <x v="0"/>
    <x v="17"/>
    <s v="Itanagar"/>
    <x v="18"/>
    <n v="658"/>
    <x v="18"/>
    <n v="1974"/>
    <n v="4606"/>
  </r>
  <r>
    <s v="PC019"/>
    <x v="0"/>
    <n v="50"/>
    <n v="55"/>
    <x v="5"/>
    <x v="1"/>
    <x v="5"/>
    <s v="Jaipur"/>
    <x v="5"/>
    <n v="896"/>
    <x v="22"/>
    <n v="2464"/>
    <n v="2016"/>
  </r>
  <r>
    <s v="PC001"/>
    <x v="1"/>
    <n v="15"/>
    <n v="20"/>
    <x v="5"/>
    <x v="2"/>
    <x v="6"/>
    <s v="Manali"/>
    <x v="6"/>
    <n v="577"/>
    <x v="23"/>
    <n v="577"/>
    <n v="2308"/>
  </r>
  <r>
    <s v="PC003"/>
    <x v="2"/>
    <n v="12"/>
    <n v="15"/>
    <x v="5"/>
    <x v="3"/>
    <x v="7"/>
    <s v="Kollam"/>
    <x v="7"/>
    <n v="987"/>
    <x v="24"/>
    <n v="740.25"/>
    <n v="2220.75"/>
  </r>
  <r>
    <s v="PC043"/>
    <x v="3"/>
    <n v="150"/>
    <n v="160"/>
    <x v="5"/>
    <x v="0"/>
    <x v="8"/>
    <s v="Bishnupur"/>
    <x v="8"/>
    <n v="897"/>
    <x v="25"/>
    <n v="7176"/>
    <n v="1794"/>
  </r>
  <r>
    <s v="PC021"/>
    <x v="4"/>
    <n v="50"/>
    <n v="60"/>
    <x v="5"/>
    <x v="1"/>
    <x v="5"/>
    <s v="Jaipur"/>
    <x v="5"/>
    <n v="852"/>
    <x v="26"/>
    <n v="2556"/>
    <n v="59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4">
  <location ref="A3:B9" firstHeaderRow="1" firstDataRow="1" firstDataCol="1"/>
  <pivotFields count="14">
    <pivotField showAll="0"/>
    <pivotField axis="axisRow" showAll="0">
      <items count="6">
        <item x="2"/>
        <item x="0"/>
        <item x="1"/>
        <item x="4"/>
        <item x="3"/>
        <item t="default"/>
      </items>
    </pivotField>
    <pivotField showAll="0"/>
    <pivotField showAll="0"/>
    <pivotField showAll="0"/>
    <pivotField showAll="0"/>
    <pivotField showAll="0">
      <items count="19">
        <item x="13"/>
        <item x="17"/>
        <item x="0"/>
        <item x="16"/>
        <item x="1"/>
        <item x="6"/>
        <item x="2"/>
        <item x="3"/>
        <item x="7"/>
        <item x="15"/>
        <item x="8"/>
        <item x="4"/>
        <item x="11"/>
        <item x="9"/>
        <item x="5"/>
        <item x="10"/>
        <item x="14"/>
        <item x="12"/>
        <item t="default"/>
      </items>
    </pivotField>
    <pivotField showAll="0"/>
    <pivotField showAll="0">
      <items count="20">
        <item x="0"/>
        <item x="13"/>
        <item x="18"/>
        <item x="16"/>
        <item x="1"/>
        <item x="6"/>
        <item x="2"/>
        <item x="3"/>
        <item x="7"/>
        <item x="8"/>
        <item x="15"/>
        <item x="4"/>
        <item x="11"/>
        <item x="9"/>
        <item x="5"/>
        <item x="10"/>
        <item x="17"/>
        <item x="14"/>
        <item x="12"/>
        <item t="default"/>
      </items>
    </pivotField>
    <pivotField showAll="0"/>
    <pivotField showAll="0">
      <items count="7">
        <item x="0"/>
        <item x="1"/>
        <item x="2"/>
        <item x="3"/>
        <item x="4"/>
        <item x="5"/>
        <item t="default"/>
      </items>
    </pivotField>
    <pivotField showAll="0"/>
    <pivotField dataField="1" showAll="0"/>
    <pivotField dragToRow="0" dragToCol="0" dragToPage="0" showAll="0" defaultSubtotal="0"/>
  </pivotFields>
  <rowFields count="1">
    <field x="1"/>
  </rowFields>
  <rowItems count="6">
    <i>
      <x/>
    </i>
    <i>
      <x v="1"/>
    </i>
    <i>
      <x v="2"/>
    </i>
    <i>
      <x v="3"/>
    </i>
    <i>
      <x v="4"/>
    </i>
    <i t="grand">
      <x/>
    </i>
  </rowItems>
  <colItems count="1">
    <i/>
  </colItems>
  <dataFields count="1">
    <dataField name="Sum of Profit" fld="12" baseField="0" baseItem="0"/>
  </dataFields>
  <chartFormats count="12">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3"/>
          </reference>
        </references>
      </pivotArea>
    </chartFormat>
    <chartFormat chart="14" format="2">
      <pivotArea type="data" outline="0" fieldPosition="0">
        <references count="2">
          <reference field="4294967294" count="1" selected="0">
            <x v="0"/>
          </reference>
          <reference field="1" count="1" selected="0">
            <x v="4"/>
          </reference>
        </references>
      </pivotArea>
    </chartFormat>
    <chartFormat chart="14" format="3">
      <pivotArea type="data" outline="0" fieldPosition="0">
        <references count="2">
          <reference field="4294967294" count="1" selected="0">
            <x v="0"/>
          </reference>
          <reference field="1" count="1" selected="0">
            <x v="0"/>
          </reference>
        </references>
      </pivotArea>
    </chartFormat>
    <chartFormat chart="14" format="4">
      <pivotArea type="data" outline="0" fieldPosition="0">
        <references count="2">
          <reference field="4294967294" count="1" selected="0">
            <x v="0"/>
          </reference>
          <reference field="1" count="1" selected="0">
            <x v="1"/>
          </reference>
        </references>
      </pivotArea>
    </chartFormat>
    <chartFormat chart="14" format="5">
      <pivotArea type="data" outline="0" fieldPosition="0">
        <references count="2">
          <reference field="4294967294" count="1" selected="0">
            <x v="0"/>
          </reference>
          <reference field="1" count="1" selected="0">
            <x v="2"/>
          </reference>
        </references>
      </pivotArea>
    </chartFormat>
    <chartFormat chart="33" format="12" series="1">
      <pivotArea type="data" outline="0" fieldPosition="0">
        <references count="1">
          <reference field="4294967294" count="1" selected="0">
            <x v="0"/>
          </reference>
        </references>
      </pivotArea>
    </chartFormat>
    <chartFormat chart="33" format="13">
      <pivotArea type="data" outline="0" fieldPosition="0">
        <references count="2">
          <reference field="4294967294" count="1" selected="0">
            <x v="0"/>
          </reference>
          <reference field="1" count="1" selected="0">
            <x v="0"/>
          </reference>
        </references>
      </pivotArea>
    </chartFormat>
    <chartFormat chart="33" format="14">
      <pivotArea type="data" outline="0" fieldPosition="0">
        <references count="2">
          <reference field="4294967294" count="1" selected="0">
            <x v="0"/>
          </reference>
          <reference field="1" count="1" selected="0">
            <x v="1"/>
          </reference>
        </references>
      </pivotArea>
    </chartFormat>
    <chartFormat chart="33" format="15">
      <pivotArea type="data" outline="0" fieldPosition="0">
        <references count="2">
          <reference field="4294967294" count="1" selected="0">
            <x v="0"/>
          </reference>
          <reference field="1" count="1" selected="0">
            <x v="2"/>
          </reference>
        </references>
      </pivotArea>
    </chartFormat>
    <chartFormat chart="33" format="16">
      <pivotArea type="data" outline="0" fieldPosition="0">
        <references count="2">
          <reference field="4294967294" count="1" selected="0">
            <x v="0"/>
          </reference>
          <reference field="1" count="1" selected="0">
            <x v="3"/>
          </reference>
        </references>
      </pivotArea>
    </chartFormat>
    <chartFormat chart="33"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8" firstHeaderRow="1" firstDataRow="1" firstDataCol="1"/>
  <pivotFields count="14">
    <pivotField showAll="0"/>
    <pivotField showAll="0"/>
    <pivotField showAll="0"/>
    <pivotField showAll="0"/>
    <pivotField showAll="0"/>
    <pivotField showAll="0"/>
    <pivotField showAll="0">
      <items count="19">
        <item x="13"/>
        <item x="17"/>
        <item x="0"/>
        <item x="16"/>
        <item x="1"/>
        <item x="6"/>
        <item x="2"/>
        <item x="3"/>
        <item x="7"/>
        <item x="15"/>
        <item x="8"/>
        <item x="4"/>
        <item x="11"/>
        <item x="9"/>
        <item x="5"/>
        <item x="10"/>
        <item x="14"/>
        <item x="12"/>
        <item t="default"/>
      </items>
    </pivotField>
    <pivotField showAll="0"/>
    <pivotField showAll="0">
      <items count="20">
        <item x="0"/>
        <item x="13"/>
        <item x="18"/>
        <item x="16"/>
        <item x="1"/>
        <item x="6"/>
        <item x="2"/>
        <item x="3"/>
        <item x="7"/>
        <item x="8"/>
        <item x="15"/>
        <item x="4"/>
        <item x="11"/>
        <item x="9"/>
        <item x="5"/>
        <item x="10"/>
        <item x="17"/>
        <item x="14"/>
        <item x="12"/>
        <item t="default"/>
      </items>
    </pivotField>
    <pivotField dataField="1" showAll="0"/>
    <pivotField axis="axisRow" showAll="0">
      <items count="7">
        <item x="0"/>
        <item x="1"/>
        <item x="2"/>
        <item x="3"/>
        <item x="4"/>
        <item x="5"/>
        <item t="default"/>
      </items>
    </pivotField>
    <pivotField showAll="0"/>
    <pivotField showAll="0"/>
    <pivotField dragToRow="0" dragToCol="0" dragToPage="0" showAll="0" defaultSubtotal="0"/>
  </pivotFields>
  <rowFields count="1">
    <field x="10"/>
  </rowFields>
  <rowItems count="5">
    <i>
      <x v="1"/>
    </i>
    <i>
      <x v="2"/>
    </i>
    <i>
      <x v="3"/>
    </i>
    <i>
      <x v="4"/>
    </i>
    <i t="grand">
      <x/>
    </i>
  </rowItems>
  <colItems count="1">
    <i/>
  </colItems>
  <dataFields count="1">
    <dataField name="Sum of Units Sold" fld="9" showDataAs="percentOfTotal" baseField="0" baseItem="0" numFmtId="1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4"/>
          </reference>
        </references>
      </pivotArea>
    </chartFormat>
    <chartFormat chart="1" format="2">
      <pivotArea type="data" outline="0" fieldPosition="0">
        <references count="2">
          <reference field="4294967294" count="1" selected="0">
            <x v="0"/>
          </reference>
          <reference field="10" count="1" selected="0">
            <x v="3"/>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0" count="1" selected="0">
            <x v="1"/>
          </reference>
        </references>
      </pivotArea>
    </chartFormat>
    <chartFormat chart="3" format="12">
      <pivotArea type="data" outline="0" fieldPosition="0">
        <references count="2">
          <reference field="4294967294" count="1" selected="0">
            <x v="0"/>
          </reference>
          <reference field="10" count="1" selected="0">
            <x v="2"/>
          </reference>
        </references>
      </pivotArea>
    </chartFormat>
    <chartFormat chart="3" format="13">
      <pivotArea type="data" outline="0" fieldPosition="0">
        <references count="2">
          <reference field="4294967294" count="1" selected="0">
            <x v="0"/>
          </reference>
          <reference field="10" count="1" selected="0">
            <x v="3"/>
          </reference>
        </references>
      </pivotArea>
    </chartFormat>
    <chartFormat chart="3" format="14">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10" firstHeaderRow="1" firstDataRow="1" firstDataCol="1"/>
  <pivotFields count="14">
    <pivotField showAll="0"/>
    <pivotField showAll="0"/>
    <pivotField showAll="0"/>
    <pivotField showAll="0"/>
    <pivotField axis="axisRow" showAll="0">
      <items count="7">
        <item x="0"/>
        <item x="1"/>
        <item x="2"/>
        <item x="3"/>
        <item x="4"/>
        <item x="5"/>
        <item t="default"/>
      </items>
    </pivotField>
    <pivotField showAll="0"/>
    <pivotField showAll="0">
      <items count="19">
        <item x="13"/>
        <item x="17"/>
        <item x="0"/>
        <item x="16"/>
        <item x="1"/>
        <item x="6"/>
        <item x="2"/>
        <item x="3"/>
        <item x="7"/>
        <item x="15"/>
        <item x="8"/>
        <item x="4"/>
        <item x="11"/>
        <item x="9"/>
        <item x="5"/>
        <item x="10"/>
        <item x="14"/>
        <item x="12"/>
        <item t="default"/>
      </items>
    </pivotField>
    <pivotField showAll="0"/>
    <pivotField showAll="0">
      <items count="20">
        <item x="0"/>
        <item x="13"/>
        <item x="18"/>
        <item x="16"/>
        <item x="1"/>
        <item x="6"/>
        <item x="2"/>
        <item x="3"/>
        <item x="7"/>
        <item x="8"/>
        <item x="15"/>
        <item x="4"/>
        <item x="11"/>
        <item x="9"/>
        <item x="5"/>
        <item x="10"/>
        <item x="17"/>
        <item x="14"/>
        <item x="12"/>
        <item t="default"/>
      </items>
    </pivotField>
    <pivotField showAll="0"/>
    <pivotField showAll="0"/>
    <pivotField showAll="0"/>
    <pivotField dataField="1" showAll="0"/>
    <pivotField dragToRow="0" dragToCol="0" dragToPage="0" showAll="0" defaultSubtotal="0"/>
  </pivotFields>
  <rowFields count="1">
    <field x="4"/>
  </rowFields>
  <rowItems count="7">
    <i>
      <x/>
    </i>
    <i>
      <x v="1"/>
    </i>
    <i>
      <x v="2"/>
    </i>
    <i>
      <x v="3"/>
    </i>
    <i>
      <x v="4"/>
    </i>
    <i>
      <x v="5"/>
    </i>
    <i t="grand">
      <x/>
    </i>
  </rowItems>
  <colItems count="1">
    <i/>
  </colItems>
  <dataFields count="1">
    <dataField name="Sum of Profit" fld="12" baseField="0" baseItem="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5"/>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8" firstHeaderRow="1" firstDataRow="1" firstDataCol="1"/>
  <pivotFields count="14">
    <pivotField showAll="0"/>
    <pivotField showAll="0"/>
    <pivotField showAll="0"/>
    <pivotField showAll="0"/>
    <pivotField showAll="0"/>
    <pivotField axis="axisRow" showAll="0">
      <items count="5">
        <item x="0"/>
        <item x="2"/>
        <item x="3"/>
        <item x="1"/>
        <item t="default"/>
      </items>
    </pivotField>
    <pivotField showAll="0">
      <items count="19">
        <item x="13"/>
        <item x="17"/>
        <item x="0"/>
        <item x="16"/>
        <item x="1"/>
        <item x="6"/>
        <item x="2"/>
        <item x="3"/>
        <item x="7"/>
        <item x="15"/>
        <item x="8"/>
        <item x="4"/>
        <item x="11"/>
        <item x="9"/>
        <item x="5"/>
        <item x="10"/>
        <item x="14"/>
        <item x="12"/>
        <item t="default"/>
      </items>
    </pivotField>
    <pivotField showAll="0"/>
    <pivotField showAll="0">
      <items count="20">
        <item x="0"/>
        <item x="13"/>
        <item x="18"/>
        <item x="16"/>
        <item x="1"/>
        <item x="6"/>
        <item x="2"/>
        <item x="3"/>
        <item x="7"/>
        <item x="8"/>
        <item x="15"/>
        <item x="4"/>
        <item x="11"/>
        <item x="9"/>
        <item x="5"/>
        <item x="10"/>
        <item x="17"/>
        <item x="14"/>
        <item x="12"/>
        <item t="default"/>
      </items>
    </pivotField>
    <pivotField dataField="1"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Sum of Units Sold" fld="9" showDataAs="percentOfTotal" baseField="0" baseItem="0" numFmtId="1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3"/>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C8" firstHeaderRow="0" firstDataRow="1" firstDataCol="1"/>
  <pivotFields count="14">
    <pivotField showAll="0"/>
    <pivotField showAll="0"/>
    <pivotField showAll="0"/>
    <pivotField showAll="0"/>
    <pivotField showAll="0"/>
    <pivotField axis="axisRow" showAll="0">
      <items count="5">
        <item x="0"/>
        <item x="2"/>
        <item x="3"/>
        <item x="1"/>
        <item t="default"/>
      </items>
    </pivotField>
    <pivotField showAll="0">
      <items count="19">
        <item x="13"/>
        <item x="17"/>
        <item x="0"/>
        <item x="16"/>
        <item x="1"/>
        <item x="6"/>
        <item x="2"/>
        <item x="3"/>
        <item x="7"/>
        <item x="15"/>
        <item x="8"/>
        <item x="4"/>
        <item x="11"/>
        <item x="9"/>
        <item x="5"/>
        <item x="10"/>
        <item x="14"/>
        <item x="12"/>
        <item t="default"/>
      </items>
    </pivotField>
    <pivotField showAll="0"/>
    <pivotField showAll="0">
      <items count="20">
        <item x="0"/>
        <item x="13"/>
        <item x="18"/>
        <item x="16"/>
        <item x="1"/>
        <item x="6"/>
        <item x="2"/>
        <item x="3"/>
        <item x="7"/>
        <item x="8"/>
        <item x="15"/>
        <item x="4"/>
        <item x="11"/>
        <item x="9"/>
        <item x="5"/>
        <item x="10"/>
        <item x="17"/>
        <item x="14"/>
        <item x="12"/>
        <item t="default"/>
      </items>
    </pivotField>
    <pivotField showAll="0"/>
    <pivotField showAll="0"/>
    <pivotField showAll="0"/>
    <pivotField dataField="1" showAll="0"/>
    <pivotField dataField="1"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Total Profit" fld="12" baseField="5" baseItem="0"/>
    <dataField name=" Cost Price" fld="13" baseField="5"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5" count="1" selected="0">
            <x v="1"/>
          </reference>
        </references>
      </pivotArea>
    </chartFormat>
    <chartFormat chart="1" format="3">
      <pivotArea type="data" outline="0" fieldPosition="0">
        <references count="2">
          <reference field="4294967294" count="1" selected="0">
            <x v="1"/>
          </reference>
          <reference field="5"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5"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nt" sourceName="Agent">
  <pivotTables>
    <pivotTable tabId="3" name="PivotTable4"/>
    <pivotTable tabId="2" name="PivotTable3"/>
    <pivotTable tabId="6" name="PivotTable2"/>
    <pivotTable tabId="5" name="PivotTable1"/>
    <pivotTable tabId="4" name="PivotTable5"/>
  </pivotTables>
  <data>
    <tabular pivotCacheId="1">
      <items count="19">
        <i x="0" s="1"/>
        <i x="13" s="1"/>
        <i x="18" s="1"/>
        <i x="16" s="1"/>
        <i x="1" s="1"/>
        <i x="6" s="1"/>
        <i x="2" s="1"/>
        <i x="3" s="1"/>
        <i x="7" s="1"/>
        <i x="8" s="1"/>
        <i x="15" s="1"/>
        <i x="4" s="1"/>
        <i x="11" s="1"/>
        <i x="9" s="1"/>
        <i x="5" s="1"/>
        <i x="10" s="1"/>
        <i x="17" s="1"/>
        <i x="14"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rea" sourceName="Area">
  <pivotTables>
    <pivotTable tabId="3" name="PivotTable4"/>
    <pivotTable tabId="2" name="PivotTable3"/>
    <pivotTable tabId="6" name="PivotTable2"/>
    <pivotTable tabId="5" name="PivotTable1"/>
    <pivotTable tabId="4" name="PivotTable5"/>
  </pivotTables>
  <data>
    <tabular pivotCacheId="1">
      <items count="18">
        <i x="13" s="1"/>
        <i x="17" s="1"/>
        <i x="0" s="1"/>
        <i x="16" s="1"/>
        <i x="1" s="1"/>
        <i x="6" s="1"/>
        <i x="2" s="1"/>
        <i x="3" s="1"/>
        <i x="7" s="1"/>
        <i x="15" s="1"/>
        <i x="8" s="1"/>
        <i x="4" s="1"/>
        <i x="11" s="1"/>
        <i x="9" s="1"/>
        <i x="5" s="1"/>
        <i x="10" s="1"/>
        <i x="14"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nt" cache="Slicer_Agent" caption="Agent" style="SlicerStyleOther1" rowHeight="241300"/>
  <slicer name="Area" cache="Slicer_Area" caption="Area"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O10" sqref="O10"/>
    </sheetView>
  </sheetViews>
  <sheetFormatPr defaultRowHeight="15" x14ac:dyDescent="0.25"/>
  <cols>
    <col min="1" max="1" width="13.140625" bestFit="1" customWidth="1"/>
    <col min="2" max="2" width="12.5703125" bestFit="1" customWidth="1"/>
  </cols>
  <sheetData>
    <row r="3" spans="1:2" x14ac:dyDescent="0.25">
      <c r="A3" s="3" t="s">
        <v>97</v>
      </c>
      <c r="B3" t="s">
        <v>99</v>
      </c>
    </row>
    <row r="4" spans="1:2" x14ac:dyDescent="0.25">
      <c r="A4" s="4" t="s">
        <v>27</v>
      </c>
      <c r="B4" s="5">
        <v>30417.75</v>
      </c>
    </row>
    <row r="5" spans="1:2" x14ac:dyDescent="0.25">
      <c r="A5" s="4" t="s">
        <v>14</v>
      </c>
      <c r="B5" s="5">
        <v>14699.25</v>
      </c>
    </row>
    <row r="6" spans="1:2" x14ac:dyDescent="0.25">
      <c r="A6" s="4" t="s">
        <v>21</v>
      </c>
      <c r="B6" s="5">
        <v>22208</v>
      </c>
    </row>
    <row r="7" spans="1:2" x14ac:dyDescent="0.25">
      <c r="A7" s="4" t="s">
        <v>39</v>
      </c>
      <c r="B7" s="5">
        <v>42126</v>
      </c>
    </row>
    <row r="8" spans="1:2" x14ac:dyDescent="0.25">
      <c r="A8" s="4" t="s">
        <v>33</v>
      </c>
      <c r="B8" s="5">
        <v>11394</v>
      </c>
    </row>
    <row r="9" spans="1:2" x14ac:dyDescent="0.25">
      <c r="A9" s="4" t="s">
        <v>98</v>
      </c>
      <c r="B9" s="5">
        <v>120845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130" zoomScaleNormal="130" workbookViewId="0">
      <selection activeCell="E18" sqref="E18"/>
    </sheetView>
  </sheetViews>
  <sheetFormatPr defaultRowHeight="15" x14ac:dyDescent="0.25"/>
  <cols>
    <col min="1" max="1" width="15" bestFit="1" customWidth="1"/>
    <col min="2" max="2" width="16.7109375" bestFit="1" customWidth="1"/>
  </cols>
  <sheetData>
    <row r="3" spans="1:2" x14ac:dyDescent="0.25">
      <c r="A3" s="3" t="s">
        <v>97</v>
      </c>
      <c r="B3" t="s">
        <v>104</v>
      </c>
    </row>
    <row r="4" spans="1:2" x14ac:dyDescent="0.25">
      <c r="A4" s="4" t="s">
        <v>100</v>
      </c>
      <c r="B4" s="6">
        <v>0.36415766767598273</v>
      </c>
    </row>
    <row r="5" spans="1:2" x14ac:dyDescent="0.25">
      <c r="A5" s="4" t="s">
        <v>101</v>
      </c>
      <c r="B5" s="6">
        <v>0.14287628285859749</v>
      </c>
    </row>
    <row r="6" spans="1:2" x14ac:dyDescent="0.25">
      <c r="A6" s="4" t="s">
        <v>102</v>
      </c>
      <c r="B6" s="6">
        <v>0.40668292290790214</v>
      </c>
    </row>
    <row r="7" spans="1:2" x14ac:dyDescent="0.25">
      <c r="A7" s="4" t="s">
        <v>103</v>
      </c>
      <c r="B7" s="6">
        <v>8.6283126557517617E-2</v>
      </c>
    </row>
    <row r="8" spans="1:2" x14ac:dyDescent="0.25">
      <c r="A8" s="4" t="s">
        <v>98</v>
      </c>
      <c r="B8" s="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N6" sqref="N6"/>
    </sheetView>
  </sheetViews>
  <sheetFormatPr defaultRowHeight="15" x14ac:dyDescent="0.25"/>
  <cols>
    <col min="1" max="1" width="13.140625" bestFit="1" customWidth="1"/>
    <col min="2" max="2" width="12.5703125" bestFit="1" customWidth="1"/>
  </cols>
  <sheetData>
    <row r="3" spans="1:2" x14ac:dyDescent="0.25">
      <c r="A3" s="3" t="s">
        <v>97</v>
      </c>
      <c r="B3" t="s">
        <v>99</v>
      </c>
    </row>
    <row r="4" spans="1:2" x14ac:dyDescent="0.25">
      <c r="A4" s="4" t="s">
        <v>15</v>
      </c>
      <c r="B4" s="5">
        <v>22800</v>
      </c>
    </row>
    <row r="5" spans="1:2" x14ac:dyDescent="0.25">
      <c r="A5" s="4" t="s">
        <v>43</v>
      </c>
      <c r="B5" s="5">
        <v>42387.5</v>
      </c>
    </row>
    <row r="6" spans="1:2" x14ac:dyDescent="0.25">
      <c r="A6" s="4" t="s">
        <v>57</v>
      </c>
      <c r="B6" s="5">
        <v>13937.5</v>
      </c>
    </row>
    <row r="7" spans="1:2" x14ac:dyDescent="0.25">
      <c r="A7" s="4" t="s">
        <v>71</v>
      </c>
      <c r="B7" s="5">
        <v>13857</v>
      </c>
    </row>
    <row r="8" spans="1:2" x14ac:dyDescent="0.25">
      <c r="A8" s="4" t="s">
        <v>84</v>
      </c>
      <c r="B8" s="5">
        <v>13560.25</v>
      </c>
    </row>
    <row r="9" spans="1:2" x14ac:dyDescent="0.25">
      <c r="A9" s="4" t="s">
        <v>92</v>
      </c>
      <c r="B9" s="5">
        <v>14302.75</v>
      </c>
    </row>
    <row r="10" spans="1:2" x14ac:dyDescent="0.25">
      <c r="A10" s="4" t="s">
        <v>98</v>
      </c>
      <c r="B10" s="5">
        <v>120845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4" sqref="B4:B7"/>
    </sheetView>
  </sheetViews>
  <sheetFormatPr defaultRowHeight="15" x14ac:dyDescent="0.25"/>
  <cols>
    <col min="1" max="1" width="13.140625" bestFit="1" customWidth="1"/>
    <col min="2" max="2" width="16.7109375" bestFit="1" customWidth="1"/>
  </cols>
  <sheetData>
    <row r="3" spans="1:2" x14ac:dyDescent="0.25">
      <c r="A3" s="3" t="s">
        <v>97</v>
      </c>
      <c r="B3" t="s">
        <v>104</v>
      </c>
    </row>
    <row r="4" spans="1:2" x14ac:dyDescent="0.25">
      <c r="A4" s="4" t="s">
        <v>16</v>
      </c>
      <c r="B4" s="6">
        <v>0.21522548835713712</v>
      </c>
    </row>
    <row r="5" spans="1:2" x14ac:dyDescent="0.25">
      <c r="A5" s="4" t="s">
        <v>28</v>
      </c>
      <c r="B5" s="6">
        <v>0.17465634127388194</v>
      </c>
    </row>
    <row r="6" spans="1:2" x14ac:dyDescent="0.25">
      <c r="A6" s="4" t="s">
        <v>34</v>
      </c>
      <c r="B6" s="6">
        <v>0.39229346981430369</v>
      </c>
    </row>
    <row r="7" spans="1:2" x14ac:dyDescent="0.25">
      <c r="A7" s="4" t="s">
        <v>22</v>
      </c>
      <c r="B7" s="6">
        <v>0.21782470055467723</v>
      </c>
    </row>
    <row r="8" spans="1:2" x14ac:dyDescent="0.25">
      <c r="A8" s="4" t="s">
        <v>98</v>
      </c>
      <c r="B8" s="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C3" sqref="C3"/>
    </sheetView>
  </sheetViews>
  <sheetFormatPr defaultRowHeight="15" x14ac:dyDescent="0.25"/>
  <cols>
    <col min="1" max="1" width="13.140625" bestFit="1" customWidth="1"/>
    <col min="2" max="2" width="10.85546875" customWidth="1"/>
    <col min="3" max="3" width="10.140625" customWidth="1"/>
  </cols>
  <sheetData>
    <row r="3" spans="1:3" x14ac:dyDescent="0.25">
      <c r="A3" s="3" t="s">
        <v>97</v>
      </c>
      <c r="B3" t="s">
        <v>105</v>
      </c>
      <c r="C3" t="s">
        <v>106</v>
      </c>
    </row>
    <row r="4" spans="1:3" x14ac:dyDescent="0.25">
      <c r="A4" s="4" t="s">
        <v>16</v>
      </c>
      <c r="B4" s="5">
        <v>28523.25</v>
      </c>
      <c r="C4" s="5">
        <v>4232864</v>
      </c>
    </row>
    <row r="5" spans="1:3" x14ac:dyDescent="0.25">
      <c r="A5" s="4" t="s">
        <v>28</v>
      </c>
      <c r="B5" s="5">
        <v>21916.5</v>
      </c>
      <c r="C5" s="5">
        <v>1981472</v>
      </c>
    </row>
    <row r="6" spans="1:3" x14ac:dyDescent="0.25">
      <c r="A6" s="4" t="s">
        <v>34</v>
      </c>
      <c r="B6" s="5">
        <v>36871.75</v>
      </c>
      <c r="C6" s="5">
        <v>6426960</v>
      </c>
    </row>
    <row r="7" spans="1:3" x14ac:dyDescent="0.25">
      <c r="A7" s="4" t="s">
        <v>22</v>
      </c>
      <c r="B7" s="5">
        <v>33533.5</v>
      </c>
      <c r="C7" s="5">
        <v>3186568</v>
      </c>
    </row>
    <row r="8" spans="1:3" x14ac:dyDescent="0.25">
      <c r="A8" s="4" t="s">
        <v>98</v>
      </c>
      <c r="B8" s="5">
        <v>120845</v>
      </c>
      <c r="C8" s="5">
        <v>62024178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5" zoomScaleNormal="55" workbookViewId="0">
      <selection activeCell="Z10" sqref="Z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selection sqref="A1:M31"/>
    </sheetView>
  </sheetViews>
  <sheetFormatPr defaultRowHeight="15" x14ac:dyDescent="0.25"/>
  <cols>
    <col min="1" max="1" width="13.28515625" bestFit="1" customWidth="1"/>
    <col min="2" max="2" width="13.57031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t="s">
        <v>14</v>
      </c>
      <c r="C2" s="2">
        <v>50</v>
      </c>
      <c r="D2" s="2">
        <v>55</v>
      </c>
      <c r="E2" s="2" t="s">
        <v>15</v>
      </c>
      <c r="F2" s="2" t="s">
        <v>16</v>
      </c>
      <c r="G2" s="2" t="s">
        <v>17</v>
      </c>
      <c r="H2" s="2" t="s">
        <v>18</v>
      </c>
      <c r="I2" s="2" t="s">
        <v>19</v>
      </c>
      <c r="J2" s="2">
        <v>2000</v>
      </c>
      <c r="K2" s="2">
        <f>J2*D2</f>
        <v>110000</v>
      </c>
      <c r="L2" s="2">
        <f t="shared" ref="L2:L31" si="0">K2*5%</f>
        <v>5500</v>
      </c>
      <c r="M2" s="2">
        <f>((D2-C2)*J2)-L2</f>
        <v>4500</v>
      </c>
    </row>
    <row r="3" spans="1:13" x14ac:dyDescent="0.25">
      <c r="A3" s="2" t="s">
        <v>20</v>
      </c>
      <c r="B3" s="2" t="s">
        <v>21</v>
      </c>
      <c r="C3" s="2">
        <v>15</v>
      </c>
      <c r="D3" s="2">
        <v>20</v>
      </c>
      <c r="E3" s="2" t="s">
        <v>15</v>
      </c>
      <c r="F3" s="2" t="s">
        <v>22</v>
      </c>
      <c r="G3" s="2" t="s">
        <v>23</v>
      </c>
      <c r="H3" s="2" t="s">
        <v>24</v>
      </c>
      <c r="I3" s="2" t="s">
        <v>25</v>
      </c>
      <c r="J3" s="2">
        <v>1000</v>
      </c>
      <c r="K3" s="2">
        <f t="shared" ref="K3:K31" si="1">J3*D3</f>
        <v>20000</v>
      </c>
      <c r="L3" s="2">
        <f t="shared" si="0"/>
        <v>1000</v>
      </c>
      <c r="M3" s="2">
        <f t="shared" ref="M3:M31" si="2">((D3-C3)*J3)-L3</f>
        <v>4000</v>
      </c>
    </row>
    <row r="4" spans="1:13" x14ac:dyDescent="0.25">
      <c r="A4" s="2" t="s">
        <v>26</v>
      </c>
      <c r="B4" s="2" t="s">
        <v>27</v>
      </c>
      <c r="C4" s="2">
        <v>12</v>
      </c>
      <c r="D4" s="2">
        <v>15</v>
      </c>
      <c r="E4" s="2" t="s">
        <v>15</v>
      </c>
      <c r="F4" s="2" t="s">
        <v>28</v>
      </c>
      <c r="G4" s="2" t="s">
        <v>29</v>
      </c>
      <c r="H4" s="2" t="s">
        <v>30</v>
      </c>
      <c r="I4" s="2" t="s">
        <v>31</v>
      </c>
      <c r="J4" s="2">
        <v>1200</v>
      </c>
      <c r="K4" s="2">
        <f t="shared" si="1"/>
        <v>18000</v>
      </c>
      <c r="L4" s="2">
        <f t="shared" si="0"/>
        <v>900</v>
      </c>
      <c r="M4" s="2">
        <f t="shared" si="2"/>
        <v>2700</v>
      </c>
    </row>
    <row r="5" spans="1:13" x14ac:dyDescent="0.25">
      <c r="A5" s="2" t="s">
        <v>32</v>
      </c>
      <c r="B5" s="2" t="s">
        <v>33</v>
      </c>
      <c r="C5" s="2">
        <v>150</v>
      </c>
      <c r="D5" s="2">
        <v>160</v>
      </c>
      <c r="E5" s="2" t="s">
        <v>15</v>
      </c>
      <c r="F5" s="2" t="s">
        <v>34</v>
      </c>
      <c r="G5" s="2" t="s">
        <v>35</v>
      </c>
      <c r="H5" s="2" t="s">
        <v>36</v>
      </c>
      <c r="I5" s="2" t="s">
        <v>37</v>
      </c>
      <c r="J5" s="2">
        <v>1250</v>
      </c>
      <c r="K5" s="2">
        <f t="shared" si="1"/>
        <v>200000</v>
      </c>
      <c r="L5" s="2">
        <f t="shared" si="0"/>
        <v>10000</v>
      </c>
      <c r="M5" s="2">
        <f t="shared" si="2"/>
        <v>2500</v>
      </c>
    </row>
    <row r="6" spans="1:13" x14ac:dyDescent="0.25">
      <c r="A6" s="2" t="s">
        <v>38</v>
      </c>
      <c r="B6" s="2" t="s">
        <v>39</v>
      </c>
      <c r="C6" s="2">
        <v>50</v>
      </c>
      <c r="D6" s="2">
        <v>60</v>
      </c>
      <c r="E6" s="2" t="s">
        <v>15</v>
      </c>
      <c r="F6" s="2" t="s">
        <v>16</v>
      </c>
      <c r="G6" s="2" t="s">
        <v>40</v>
      </c>
      <c r="H6" s="2" t="s">
        <v>41</v>
      </c>
      <c r="I6" s="2" t="s">
        <v>42</v>
      </c>
      <c r="J6" s="2">
        <v>1300</v>
      </c>
      <c r="K6" s="2">
        <f t="shared" si="1"/>
        <v>78000</v>
      </c>
      <c r="L6" s="2">
        <f t="shared" si="0"/>
        <v>3900</v>
      </c>
      <c r="M6" s="2">
        <f t="shared" si="2"/>
        <v>9100</v>
      </c>
    </row>
    <row r="7" spans="1:13" x14ac:dyDescent="0.25">
      <c r="A7" s="2" t="s">
        <v>13</v>
      </c>
      <c r="B7" s="2" t="s">
        <v>14</v>
      </c>
      <c r="C7" s="2">
        <v>50</v>
      </c>
      <c r="D7" s="2">
        <v>55</v>
      </c>
      <c r="E7" s="2" t="s">
        <v>43</v>
      </c>
      <c r="F7" s="2" t="s">
        <v>22</v>
      </c>
      <c r="G7" s="2" t="s">
        <v>44</v>
      </c>
      <c r="H7" s="2" t="s">
        <v>45</v>
      </c>
      <c r="I7" s="2" t="s">
        <v>46</v>
      </c>
      <c r="J7" s="2">
        <v>1350</v>
      </c>
      <c r="K7" s="2">
        <f t="shared" si="1"/>
        <v>74250</v>
      </c>
      <c r="L7" s="2">
        <f t="shared" si="0"/>
        <v>3712.5</v>
      </c>
      <c r="M7" s="2">
        <f t="shared" si="2"/>
        <v>3037.5</v>
      </c>
    </row>
    <row r="8" spans="1:13" x14ac:dyDescent="0.25">
      <c r="A8" s="2" t="s">
        <v>20</v>
      </c>
      <c r="B8" s="2" t="s">
        <v>21</v>
      </c>
      <c r="C8" s="2">
        <v>15</v>
      </c>
      <c r="D8" s="2">
        <v>20</v>
      </c>
      <c r="E8" s="2" t="s">
        <v>43</v>
      </c>
      <c r="F8" s="2" t="s">
        <v>28</v>
      </c>
      <c r="G8" s="2" t="s">
        <v>47</v>
      </c>
      <c r="H8" s="2" t="s">
        <v>48</v>
      </c>
      <c r="I8" s="2" t="s">
        <v>49</v>
      </c>
      <c r="J8" s="2">
        <v>1400</v>
      </c>
      <c r="K8" s="2">
        <f t="shared" si="1"/>
        <v>28000</v>
      </c>
      <c r="L8" s="2">
        <f t="shared" si="0"/>
        <v>1400</v>
      </c>
      <c r="M8" s="2">
        <f t="shared" si="2"/>
        <v>5600</v>
      </c>
    </row>
    <row r="9" spans="1:13" x14ac:dyDescent="0.25">
      <c r="A9" s="2" t="s">
        <v>26</v>
      </c>
      <c r="B9" s="2" t="s">
        <v>27</v>
      </c>
      <c r="C9" s="2">
        <v>12</v>
      </c>
      <c r="D9" s="2">
        <v>15</v>
      </c>
      <c r="E9" s="2" t="s">
        <v>43</v>
      </c>
      <c r="F9" s="2" t="s">
        <v>34</v>
      </c>
      <c r="G9" s="2" t="s">
        <v>50</v>
      </c>
      <c r="H9" s="2" t="s">
        <v>51</v>
      </c>
      <c r="I9" s="2" t="s">
        <v>52</v>
      </c>
      <c r="J9" s="2">
        <v>9000</v>
      </c>
      <c r="K9" s="2">
        <f t="shared" si="1"/>
        <v>135000</v>
      </c>
      <c r="L9" s="2">
        <f t="shared" si="0"/>
        <v>6750</v>
      </c>
      <c r="M9" s="2">
        <f t="shared" si="2"/>
        <v>20250</v>
      </c>
    </row>
    <row r="10" spans="1:13" x14ac:dyDescent="0.25">
      <c r="A10" s="2" t="s">
        <v>32</v>
      </c>
      <c r="B10" s="2" t="s">
        <v>33</v>
      </c>
      <c r="C10" s="2">
        <v>150</v>
      </c>
      <c r="D10" s="2">
        <v>160</v>
      </c>
      <c r="E10" s="2" t="s">
        <v>43</v>
      </c>
      <c r="F10" s="2" t="s">
        <v>16</v>
      </c>
      <c r="G10" s="2" t="s">
        <v>53</v>
      </c>
      <c r="H10" s="2" t="s">
        <v>54</v>
      </c>
      <c r="I10" s="2" t="s">
        <v>55</v>
      </c>
      <c r="J10" s="2">
        <v>800</v>
      </c>
      <c r="K10" s="2">
        <f t="shared" si="1"/>
        <v>128000</v>
      </c>
      <c r="L10" s="2">
        <f t="shared" si="0"/>
        <v>6400</v>
      </c>
      <c r="M10" s="2">
        <f t="shared" si="2"/>
        <v>1600</v>
      </c>
    </row>
    <row r="11" spans="1:13" x14ac:dyDescent="0.25">
      <c r="A11" s="2" t="s">
        <v>38</v>
      </c>
      <c r="B11" s="2" t="s">
        <v>39</v>
      </c>
      <c r="C11" s="2">
        <v>50</v>
      </c>
      <c r="D11" s="2">
        <v>60</v>
      </c>
      <c r="E11" s="2" t="s">
        <v>43</v>
      </c>
      <c r="F11" s="2" t="s">
        <v>22</v>
      </c>
      <c r="G11" s="2" t="s">
        <v>44</v>
      </c>
      <c r="H11" s="2" t="s">
        <v>56</v>
      </c>
      <c r="I11" s="2" t="s">
        <v>46</v>
      </c>
      <c r="J11" s="2">
        <v>1700</v>
      </c>
      <c r="K11" s="2">
        <f t="shared" si="1"/>
        <v>102000</v>
      </c>
      <c r="L11" s="2">
        <f t="shared" si="0"/>
        <v>5100</v>
      </c>
      <c r="M11" s="2">
        <f t="shared" si="2"/>
        <v>11900</v>
      </c>
    </row>
    <row r="12" spans="1:13" x14ac:dyDescent="0.25">
      <c r="A12" s="2" t="s">
        <v>13</v>
      </c>
      <c r="B12" s="2" t="s">
        <v>14</v>
      </c>
      <c r="C12" s="2">
        <v>50</v>
      </c>
      <c r="D12" s="2">
        <v>55</v>
      </c>
      <c r="E12" s="2" t="s">
        <v>57</v>
      </c>
      <c r="F12" s="2" t="s">
        <v>28</v>
      </c>
      <c r="G12" s="2" t="s">
        <v>58</v>
      </c>
      <c r="H12" s="2" t="s">
        <v>59</v>
      </c>
      <c r="I12" s="2" t="s">
        <v>60</v>
      </c>
      <c r="J12" s="2">
        <v>650</v>
      </c>
      <c r="K12" s="2">
        <f t="shared" si="1"/>
        <v>35750</v>
      </c>
      <c r="L12" s="2">
        <f t="shared" si="0"/>
        <v>1787.5</v>
      </c>
      <c r="M12" s="2">
        <f t="shared" si="2"/>
        <v>1462.5</v>
      </c>
    </row>
    <row r="13" spans="1:13" x14ac:dyDescent="0.25">
      <c r="A13" s="2" t="s">
        <v>20</v>
      </c>
      <c r="B13" s="2" t="s">
        <v>21</v>
      </c>
      <c r="C13" s="2">
        <v>15</v>
      </c>
      <c r="D13" s="2">
        <v>20</v>
      </c>
      <c r="E13" s="2" t="s">
        <v>57</v>
      </c>
      <c r="F13" s="2" t="s">
        <v>34</v>
      </c>
      <c r="G13" s="2" t="s">
        <v>61</v>
      </c>
      <c r="H13" s="2" t="s">
        <v>62</v>
      </c>
      <c r="I13" s="2" t="s">
        <v>63</v>
      </c>
      <c r="J13" s="2">
        <v>780</v>
      </c>
      <c r="K13" s="2">
        <f t="shared" si="1"/>
        <v>15600</v>
      </c>
      <c r="L13" s="2">
        <f t="shared" si="0"/>
        <v>780</v>
      </c>
      <c r="M13" s="2">
        <f t="shared" si="2"/>
        <v>3120</v>
      </c>
    </row>
    <row r="14" spans="1:13" x14ac:dyDescent="0.25">
      <c r="A14" s="2" t="s">
        <v>26</v>
      </c>
      <c r="B14" s="2" t="s">
        <v>27</v>
      </c>
      <c r="C14" s="2">
        <v>12</v>
      </c>
      <c r="D14" s="2">
        <v>15</v>
      </c>
      <c r="E14" s="2" t="s">
        <v>57</v>
      </c>
      <c r="F14" s="2" t="s">
        <v>16</v>
      </c>
      <c r="G14" s="2" t="s">
        <v>64</v>
      </c>
      <c r="H14" s="2" t="s">
        <v>65</v>
      </c>
      <c r="I14" s="2" t="s">
        <v>66</v>
      </c>
      <c r="J14" s="2">
        <v>820</v>
      </c>
      <c r="K14" s="2">
        <f t="shared" si="1"/>
        <v>12300</v>
      </c>
      <c r="L14" s="2">
        <f t="shared" si="0"/>
        <v>615</v>
      </c>
      <c r="M14" s="2">
        <f t="shared" si="2"/>
        <v>1845</v>
      </c>
    </row>
    <row r="15" spans="1:13" x14ac:dyDescent="0.25">
      <c r="A15" s="2" t="s">
        <v>32</v>
      </c>
      <c r="B15" s="2" t="s">
        <v>33</v>
      </c>
      <c r="C15" s="2">
        <v>150</v>
      </c>
      <c r="D15" s="2">
        <v>160</v>
      </c>
      <c r="E15" s="2" t="s">
        <v>57</v>
      </c>
      <c r="F15" s="2" t="s">
        <v>22</v>
      </c>
      <c r="G15" s="2" t="s">
        <v>23</v>
      </c>
      <c r="H15" s="2" t="s">
        <v>67</v>
      </c>
      <c r="I15" s="2" t="s">
        <v>25</v>
      </c>
      <c r="J15" s="2">
        <v>780</v>
      </c>
      <c r="K15" s="2">
        <f t="shared" si="1"/>
        <v>124800</v>
      </c>
      <c r="L15" s="2">
        <f t="shared" si="0"/>
        <v>6240</v>
      </c>
      <c r="M15" s="2">
        <f t="shared" si="2"/>
        <v>1560</v>
      </c>
    </row>
    <row r="16" spans="1:13" x14ac:dyDescent="0.25">
      <c r="A16" s="2" t="s">
        <v>38</v>
      </c>
      <c r="B16" s="2" t="s">
        <v>39</v>
      </c>
      <c r="C16" s="2">
        <v>50</v>
      </c>
      <c r="D16" s="2">
        <v>60</v>
      </c>
      <c r="E16" s="2" t="s">
        <v>57</v>
      </c>
      <c r="F16" s="2" t="s">
        <v>28</v>
      </c>
      <c r="G16" s="2" t="s">
        <v>68</v>
      </c>
      <c r="H16" s="2" t="s">
        <v>69</v>
      </c>
      <c r="I16" s="2" t="s">
        <v>70</v>
      </c>
      <c r="J16" s="2">
        <v>850</v>
      </c>
      <c r="K16" s="2">
        <f t="shared" si="1"/>
        <v>51000</v>
      </c>
      <c r="L16" s="2">
        <f t="shared" si="0"/>
        <v>2550</v>
      </c>
      <c r="M16" s="2">
        <f t="shared" si="2"/>
        <v>5950</v>
      </c>
    </row>
    <row r="17" spans="1:13" x14ac:dyDescent="0.25">
      <c r="A17" s="2" t="s">
        <v>13</v>
      </c>
      <c r="B17" s="2" t="s">
        <v>14</v>
      </c>
      <c r="C17" s="2">
        <v>50</v>
      </c>
      <c r="D17" s="2">
        <v>55</v>
      </c>
      <c r="E17" s="2" t="s">
        <v>71</v>
      </c>
      <c r="F17" s="2" t="s">
        <v>34</v>
      </c>
      <c r="G17" s="2" t="s">
        <v>72</v>
      </c>
      <c r="H17" s="2" t="s">
        <v>73</v>
      </c>
      <c r="I17" s="2" t="s">
        <v>74</v>
      </c>
      <c r="J17" s="2">
        <v>980</v>
      </c>
      <c r="K17" s="2">
        <f t="shared" si="1"/>
        <v>53900</v>
      </c>
      <c r="L17" s="2">
        <f t="shared" si="0"/>
        <v>2695</v>
      </c>
      <c r="M17" s="2">
        <f t="shared" si="2"/>
        <v>2205</v>
      </c>
    </row>
    <row r="18" spans="1:13" x14ac:dyDescent="0.25">
      <c r="A18" s="2" t="s">
        <v>20</v>
      </c>
      <c r="B18" s="2" t="s">
        <v>21</v>
      </c>
      <c r="C18" s="2">
        <v>15</v>
      </c>
      <c r="D18" s="2">
        <v>20</v>
      </c>
      <c r="E18" s="2" t="s">
        <v>71</v>
      </c>
      <c r="F18" s="2" t="s">
        <v>16</v>
      </c>
      <c r="G18" s="2" t="s">
        <v>75</v>
      </c>
      <c r="H18" s="2" t="s">
        <v>76</v>
      </c>
      <c r="I18" s="2" t="s">
        <v>77</v>
      </c>
      <c r="J18" s="2">
        <v>900</v>
      </c>
      <c r="K18" s="2">
        <f t="shared" si="1"/>
        <v>18000</v>
      </c>
      <c r="L18" s="2">
        <f t="shared" si="0"/>
        <v>900</v>
      </c>
      <c r="M18" s="2">
        <f t="shared" si="2"/>
        <v>3600</v>
      </c>
    </row>
    <row r="19" spans="1:13" x14ac:dyDescent="0.25">
      <c r="A19" s="2" t="s">
        <v>26</v>
      </c>
      <c r="B19" s="2" t="s">
        <v>27</v>
      </c>
      <c r="C19" s="2">
        <v>12</v>
      </c>
      <c r="D19" s="2">
        <v>15</v>
      </c>
      <c r="E19" s="2" t="s">
        <v>71</v>
      </c>
      <c r="F19" s="2" t="s">
        <v>22</v>
      </c>
      <c r="G19" s="2" t="s">
        <v>78</v>
      </c>
      <c r="H19" s="2" t="s">
        <v>79</v>
      </c>
      <c r="I19" s="2" t="s">
        <v>80</v>
      </c>
      <c r="J19" s="2">
        <v>656</v>
      </c>
      <c r="K19" s="2">
        <f t="shared" si="1"/>
        <v>9840</v>
      </c>
      <c r="L19" s="2">
        <f t="shared" si="0"/>
        <v>492</v>
      </c>
      <c r="M19" s="2">
        <f t="shared" si="2"/>
        <v>1476</v>
      </c>
    </row>
    <row r="20" spans="1:13" x14ac:dyDescent="0.25">
      <c r="A20" s="2" t="s">
        <v>32</v>
      </c>
      <c r="B20" s="2" t="s">
        <v>33</v>
      </c>
      <c r="C20" s="2">
        <v>150</v>
      </c>
      <c r="D20" s="2">
        <v>160</v>
      </c>
      <c r="E20" s="2" t="s">
        <v>71</v>
      </c>
      <c r="F20" s="2" t="s">
        <v>28</v>
      </c>
      <c r="G20" s="2" t="s">
        <v>81</v>
      </c>
      <c r="H20" s="2" t="s">
        <v>81</v>
      </c>
      <c r="I20" s="2" t="s">
        <v>82</v>
      </c>
      <c r="J20" s="2">
        <v>985</v>
      </c>
      <c r="K20" s="2">
        <f t="shared" si="1"/>
        <v>157600</v>
      </c>
      <c r="L20" s="2">
        <f t="shared" si="0"/>
        <v>7880</v>
      </c>
      <c r="M20" s="2">
        <f t="shared" si="2"/>
        <v>1970</v>
      </c>
    </row>
    <row r="21" spans="1:13" x14ac:dyDescent="0.25">
      <c r="A21" s="2" t="s">
        <v>38</v>
      </c>
      <c r="B21" s="2" t="s">
        <v>39</v>
      </c>
      <c r="C21" s="2">
        <v>50</v>
      </c>
      <c r="D21" s="2">
        <v>60</v>
      </c>
      <c r="E21" s="2" t="s">
        <v>71</v>
      </c>
      <c r="F21" s="2" t="s">
        <v>34</v>
      </c>
      <c r="G21" s="2" t="s">
        <v>61</v>
      </c>
      <c r="H21" s="2" t="s">
        <v>83</v>
      </c>
      <c r="I21" s="2" t="s">
        <v>63</v>
      </c>
      <c r="J21" s="2">
        <v>658</v>
      </c>
      <c r="K21" s="2">
        <f t="shared" si="1"/>
        <v>39480</v>
      </c>
      <c r="L21" s="2">
        <f t="shared" si="0"/>
        <v>1974</v>
      </c>
      <c r="M21" s="2">
        <f t="shared" si="2"/>
        <v>4606</v>
      </c>
    </row>
    <row r="22" spans="1:13" x14ac:dyDescent="0.25">
      <c r="A22" s="2" t="s">
        <v>13</v>
      </c>
      <c r="B22" s="2" t="s">
        <v>14</v>
      </c>
      <c r="C22" s="2">
        <v>50</v>
      </c>
      <c r="D22" s="2">
        <v>55</v>
      </c>
      <c r="E22" s="2" t="s">
        <v>84</v>
      </c>
      <c r="F22" s="2" t="s">
        <v>16</v>
      </c>
      <c r="G22" s="2" t="s">
        <v>75</v>
      </c>
      <c r="H22" s="2" t="s">
        <v>76</v>
      </c>
      <c r="I22" s="2" t="s">
        <v>85</v>
      </c>
      <c r="J22" s="2">
        <v>657</v>
      </c>
      <c r="K22" s="2">
        <f t="shared" si="1"/>
        <v>36135</v>
      </c>
      <c r="L22" s="2">
        <f t="shared" si="0"/>
        <v>1806.75</v>
      </c>
      <c r="M22" s="2">
        <f t="shared" si="2"/>
        <v>1478.25</v>
      </c>
    </row>
    <row r="23" spans="1:13" x14ac:dyDescent="0.25">
      <c r="A23" s="2" t="s">
        <v>20</v>
      </c>
      <c r="B23" s="2" t="s">
        <v>21</v>
      </c>
      <c r="C23" s="2">
        <v>15</v>
      </c>
      <c r="D23" s="2">
        <v>20</v>
      </c>
      <c r="E23" s="2" t="s">
        <v>84</v>
      </c>
      <c r="F23" s="2" t="s">
        <v>22</v>
      </c>
      <c r="G23" s="2" t="s">
        <v>78</v>
      </c>
      <c r="H23" s="2" t="s">
        <v>86</v>
      </c>
      <c r="I23" s="2" t="s">
        <v>80</v>
      </c>
      <c r="J23" s="2">
        <v>895</v>
      </c>
      <c r="K23" s="2">
        <f t="shared" si="1"/>
        <v>17900</v>
      </c>
      <c r="L23" s="2">
        <f t="shared" si="0"/>
        <v>895</v>
      </c>
      <c r="M23" s="2">
        <f t="shared" si="2"/>
        <v>3580</v>
      </c>
    </row>
    <row r="24" spans="1:13" x14ac:dyDescent="0.25">
      <c r="A24" s="2" t="s">
        <v>26</v>
      </c>
      <c r="B24" s="2" t="s">
        <v>27</v>
      </c>
      <c r="C24" s="2">
        <v>12</v>
      </c>
      <c r="D24" s="2">
        <v>15</v>
      </c>
      <c r="E24" s="2" t="s">
        <v>84</v>
      </c>
      <c r="F24" s="2" t="s">
        <v>28</v>
      </c>
      <c r="G24" s="2" t="s">
        <v>58</v>
      </c>
      <c r="H24" s="2" t="s">
        <v>87</v>
      </c>
      <c r="I24" s="2" t="s">
        <v>60</v>
      </c>
      <c r="J24" s="2">
        <v>856</v>
      </c>
      <c r="K24" s="2">
        <f t="shared" si="1"/>
        <v>12840</v>
      </c>
      <c r="L24" s="2">
        <f t="shared" si="0"/>
        <v>642</v>
      </c>
      <c r="M24" s="2">
        <f t="shared" si="2"/>
        <v>1926</v>
      </c>
    </row>
    <row r="25" spans="1:13" x14ac:dyDescent="0.25">
      <c r="A25" s="2" t="s">
        <v>32</v>
      </c>
      <c r="B25" s="2" t="s">
        <v>33</v>
      </c>
      <c r="C25" s="2">
        <v>150</v>
      </c>
      <c r="D25" s="2">
        <v>160</v>
      </c>
      <c r="E25" s="2" t="s">
        <v>84</v>
      </c>
      <c r="F25" s="2" t="s">
        <v>34</v>
      </c>
      <c r="G25" s="2" t="s">
        <v>72</v>
      </c>
      <c r="H25" s="2" t="s">
        <v>88</v>
      </c>
      <c r="I25" s="2" t="s">
        <v>74</v>
      </c>
      <c r="J25" s="2">
        <v>985</v>
      </c>
      <c r="K25" s="2">
        <f t="shared" si="1"/>
        <v>157600</v>
      </c>
      <c r="L25" s="2">
        <f t="shared" si="0"/>
        <v>7880</v>
      </c>
      <c r="M25" s="2">
        <f t="shared" si="2"/>
        <v>1970</v>
      </c>
    </row>
    <row r="26" spans="1:13" x14ac:dyDescent="0.25">
      <c r="A26" s="2" t="s">
        <v>38</v>
      </c>
      <c r="B26" s="2" t="s">
        <v>39</v>
      </c>
      <c r="C26" s="2">
        <v>50</v>
      </c>
      <c r="D26" s="2">
        <v>60</v>
      </c>
      <c r="E26" s="2" t="s">
        <v>84</v>
      </c>
      <c r="F26" s="2" t="s">
        <v>16</v>
      </c>
      <c r="G26" s="2" t="s">
        <v>89</v>
      </c>
      <c r="H26" s="2" t="s">
        <v>90</v>
      </c>
      <c r="I26" s="2" t="s">
        <v>91</v>
      </c>
      <c r="J26" s="2">
        <v>658</v>
      </c>
      <c r="K26" s="2">
        <f t="shared" si="1"/>
        <v>39480</v>
      </c>
      <c r="L26" s="2">
        <f t="shared" si="0"/>
        <v>1974</v>
      </c>
      <c r="M26" s="2">
        <f t="shared" si="2"/>
        <v>4606</v>
      </c>
    </row>
    <row r="27" spans="1:13" x14ac:dyDescent="0.25">
      <c r="A27" s="2" t="s">
        <v>13</v>
      </c>
      <c r="B27" s="2" t="s">
        <v>14</v>
      </c>
      <c r="C27" s="2">
        <v>50</v>
      </c>
      <c r="D27" s="2">
        <v>55</v>
      </c>
      <c r="E27" s="2" t="s">
        <v>92</v>
      </c>
      <c r="F27" s="2" t="s">
        <v>22</v>
      </c>
      <c r="G27" s="2" t="s">
        <v>44</v>
      </c>
      <c r="H27" s="2" t="s">
        <v>93</v>
      </c>
      <c r="I27" s="2" t="s">
        <v>46</v>
      </c>
      <c r="J27" s="2">
        <v>896</v>
      </c>
      <c r="K27" s="2">
        <f t="shared" si="1"/>
        <v>49280</v>
      </c>
      <c r="L27" s="2">
        <f t="shared" si="0"/>
        <v>2464</v>
      </c>
      <c r="M27" s="2">
        <f t="shared" si="2"/>
        <v>2016</v>
      </c>
    </row>
    <row r="28" spans="1:13" x14ac:dyDescent="0.25">
      <c r="A28" s="2" t="s">
        <v>20</v>
      </c>
      <c r="B28" s="2" t="s">
        <v>21</v>
      </c>
      <c r="C28" s="2">
        <v>15</v>
      </c>
      <c r="D28" s="2">
        <v>20</v>
      </c>
      <c r="E28" s="2" t="s">
        <v>92</v>
      </c>
      <c r="F28" s="2" t="s">
        <v>28</v>
      </c>
      <c r="G28" s="2" t="s">
        <v>47</v>
      </c>
      <c r="H28" s="2" t="s">
        <v>94</v>
      </c>
      <c r="I28" s="2" t="s">
        <v>49</v>
      </c>
      <c r="J28" s="2">
        <v>577</v>
      </c>
      <c r="K28" s="2">
        <f t="shared" si="1"/>
        <v>11540</v>
      </c>
      <c r="L28" s="2">
        <f t="shared" si="0"/>
        <v>577</v>
      </c>
      <c r="M28" s="2">
        <f t="shared" si="2"/>
        <v>2308</v>
      </c>
    </row>
    <row r="29" spans="1:13" x14ac:dyDescent="0.25">
      <c r="A29" s="2" t="s">
        <v>26</v>
      </c>
      <c r="B29" s="2" t="s">
        <v>27</v>
      </c>
      <c r="C29" s="2">
        <v>12</v>
      </c>
      <c r="D29" s="2">
        <v>15</v>
      </c>
      <c r="E29" s="2" t="s">
        <v>92</v>
      </c>
      <c r="F29" s="2" t="s">
        <v>34</v>
      </c>
      <c r="G29" s="2" t="s">
        <v>50</v>
      </c>
      <c r="H29" s="2" t="s">
        <v>95</v>
      </c>
      <c r="I29" s="2" t="s">
        <v>52</v>
      </c>
      <c r="J29" s="2">
        <v>987</v>
      </c>
      <c r="K29" s="2">
        <f t="shared" si="1"/>
        <v>14805</v>
      </c>
      <c r="L29" s="2">
        <f t="shared" si="0"/>
        <v>740.25</v>
      </c>
      <c r="M29" s="2">
        <f t="shared" si="2"/>
        <v>2220.75</v>
      </c>
    </row>
    <row r="30" spans="1:13" x14ac:dyDescent="0.25">
      <c r="A30" s="2" t="s">
        <v>32</v>
      </c>
      <c r="B30" s="2" t="s">
        <v>33</v>
      </c>
      <c r="C30" s="2">
        <v>150</v>
      </c>
      <c r="D30" s="2">
        <v>160</v>
      </c>
      <c r="E30" s="2" t="s">
        <v>92</v>
      </c>
      <c r="F30" s="2" t="s">
        <v>16</v>
      </c>
      <c r="G30" s="2" t="s">
        <v>53</v>
      </c>
      <c r="H30" s="2" t="s">
        <v>96</v>
      </c>
      <c r="I30" s="2" t="s">
        <v>55</v>
      </c>
      <c r="J30" s="2">
        <v>897</v>
      </c>
      <c r="K30" s="2">
        <f t="shared" si="1"/>
        <v>143520</v>
      </c>
      <c r="L30" s="2">
        <f t="shared" si="0"/>
        <v>7176</v>
      </c>
      <c r="M30" s="2">
        <f t="shared" si="2"/>
        <v>1794</v>
      </c>
    </row>
    <row r="31" spans="1:13" x14ac:dyDescent="0.25">
      <c r="A31" s="2" t="s">
        <v>38</v>
      </c>
      <c r="B31" s="2" t="s">
        <v>39</v>
      </c>
      <c r="C31" s="2">
        <v>50</v>
      </c>
      <c r="D31" s="2">
        <v>60</v>
      </c>
      <c r="E31" s="2" t="s">
        <v>92</v>
      </c>
      <c r="F31" s="2" t="s">
        <v>22</v>
      </c>
      <c r="G31" s="2" t="s">
        <v>44</v>
      </c>
      <c r="H31" s="2" t="s">
        <v>93</v>
      </c>
      <c r="I31" s="2" t="s">
        <v>46</v>
      </c>
      <c r="J31" s="2">
        <v>852</v>
      </c>
      <c r="K31" s="2">
        <f t="shared" si="1"/>
        <v>51120</v>
      </c>
      <c r="L31" s="2">
        <f t="shared" si="0"/>
        <v>2556</v>
      </c>
      <c r="M31" s="2">
        <f t="shared" si="2"/>
        <v>5964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column</vt:lpstr>
      <vt:lpstr>Pie chart</vt:lpstr>
      <vt:lpstr>line chart</vt:lpstr>
      <vt:lpstr>Donut chart</vt:lpstr>
      <vt:lpstr>Combo</vt:lpstr>
      <vt:lpstr>Dashbord</vt:lpstr>
      <vt:lpstr>Pivot_Table_3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tiwari</dc:creator>
  <cp:lastModifiedBy>abhishek tiwari</cp:lastModifiedBy>
  <dcterms:created xsi:type="dcterms:W3CDTF">2026-04-15T10:25:59Z</dcterms:created>
  <dcterms:modified xsi:type="dcterms:W3CDTF">2026-04-19T13:26:55Z</dcterms:modified>
</cp:coreProperties>
</file>